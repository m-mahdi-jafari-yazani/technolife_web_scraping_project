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pecs" sheetId="2" state="visible" r:id="rId4"/>
    <sheet name="Ratings" sheetId="3" state="visible" r:id="rId5"/>
    <sheet name="Analysis" sheetId="4" state="visible" r:id="rId6"/>
    <sheet name="Clean" sheetId="5" state="visible" r:id="rId7"/>
    <sheet name="Raw" sheetId="6" state="visible" r:id="rId8"/>
    <sheet name="Params" sheetId="7" state="visible" r:id="rId9"/>
    <sheet name="Notes" sheetId="8" state="visible" r:id="rId10"/>
  </sheets>
  <definedNames>
    <definedName function="false" hidden="false" name="fBrand" vbProcedure="false">Dashboard!$B$6</definedName>
    <definedName function="false" hidden="false" name="fCPU" vbProcedure="false">Dashboard!$G$6</definedName>
    <definedName function="false" hidden="false" name="fGPU" vbProcedure="false">Dashboard!$L$6</definedName>
    <definedName function="false" hidden="false" name="fRAM" vbProcedure="false">Dashboard!$V$6</definedName>
    <definedName function="false" hidden="false" name="fTier" vbProcedure="false">Dashboard!$Q$6</definedName>
    <definedName function="false" hidden="false" name="p_bin0" vbProcedure="false">Params!$H$7</definedName>
    <definedName function="false" hidden="false" name="p_binw" vbProcedure="false">Params!$H$8</definedName>
    <definedName function="false" hidden="false" name="p_c" vbProcedure="false">Params!$H$6</definedName>
    <definedName function="false" hidden="false" name="p_excl" vbProcedure="false">Params!$H$9</definedName>
    <definedName function="false" hidden="false" name="p_m" vbProcedure="false">Params!$H$5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<sst xmlns="http://schemas.openxmlformats.org/spreadsheetml/2006/main" count="1140" uniqueCount="463">
  <si>
    <t xml:space="preserve">Laptop Market Dashboard · Technolife</t>
  </si>
  <si>
    <t xml:space="preserve">Top 100 listed laptops on technolife.com · prices in million Toman · all figures update with the filters below</t>
  </si>
  <si>
    <t xml:space="preserve">Specs &amp; value →</t>
  </si>
  <si>
    <t xml:space="preserve">Ratings &amp; deals →</t>
  </si>
  <si>
    <t xml:space="preserve">FILTERS  –  pick a value from each dropdown (choose "All" to clear). Every chart and number on all three pages responds.</t>
  </si>
  <si>
    <t xml:space="preserve">Brand</t>
  </si>
  <si>
    <t xml:space="preserve">CPU maker</t>
  </si>
  <si>
    <t xml:space="preserve">GPU type</t>
  </si>
  <si>
    <t xml:space="preserve">Price tier</t>
  </si>
  <si>
    <t xml:space="preserve">RAM class</t>
  </si>
  <si>
    <t xml:space="preserve">All</t>
  </si>
  <si>
    <t xml:space="preserve">LAPTOPS SELECTED</t>
  </si>
  <si>
    <t xml:space="preserve">MEDIAN PRICE (M TOMAN)</t>
  </si>
  <si>
    <t xml:space="preserve">AVG RATING (WEIGHTED)</t>
  </si>
  <si>
    <t xml:space="preserve">LAPTOPS ON DISCOUNT</t>
  </si>
  <si>
    <t xml:space="preserve">DEDICATED-GPU SHARE</t>
  </si>
  <si>
    <t xml:space="preserve">Key takeaways for the current selection</t>
  </si>
  <si>
    <t xml:space="preserve">Brands: who sells what, and at which price</t>
  </si>
  <si>
    <t xml:space="preserve">Price structure of the market</t>
  </si>
  <si>
    <t xml:space="preserve">How to read: bars show the current filter selection. Price tiers and categories are defined on the Params sheet; every cleaning step is traceable Raw → Clean → Analysis → Dashboard.</t>
  </si>
  <si>
    <t xml:space="preserve">Specs &amp; Value</t>
  </si>
  <si>
    <t xml:space="preserve">How hardware choices relate to price · prices in million Toman</t>
  </si>
  <si>
    <t xml:space="preserve">Overview →</t>
  </si>
  <si>
    <t xml:space="preserve">Memory and processor</t>
  </si>
  <si>
    <t xml:space="preserve">Graphics card and weight</t>
  </si>
  <si>
    <t xml:space="preserve">Multi-dimensional comparison: RAM class × storage class</t>
  </si>
  <si>
    <t xml:space="preserve">Average price (M Toman) – darker = more expensive</t>
  </si>
  <si>
    <t xml:space="preserve">Number of laptops in each cell (sample size)</t>
  </si>
  <si>
    <t xml:space="preserve">RAM  \  Storage</t>
  </si>
  <si>
    <t xml:space="preserve">Cells show "–" when no laptop matches. Treat averages built on very few laptops (see the counts on the right) with caution.</t>
  </si>
  <si>
    <t xml:space="preserve">Ratings &amp; Deals</t>
  </si>
  <si>
    <t xml:space="preserve">What customers think and where the discounts are · rating = 0–5 stars from technolife.com</t>
  </si>
  <si>
    <t xml:space="preserve">AVG RATING (SIMPLE)</t>
  </si>
  <si>
    <t xml:space="preserve">TOTAL REVIEWS</t>
  </si>
  <si>
    <t xml:space="preserve">CORRELATION PRICE ↔ RATING</t>
  </si>
  <si>
    <t xml:space="preserve">AVG DISCOUNT</t>
  </si>
  <si>
    <t xml:space="preserve">Best-rated laptops (Bayesian-weighted so a single 5-star review cannot win)</t>
  </si>
  <si>
    <t xml:space="preserve">Rank</t>
  </si>
  <si>
    <t xml:space="preserve">Laptop</t>
  </si>
  <si>
    <t xml:space="preserve">Price (M)</t>
  </si>
  <si>
    <t xml:space="preserve">Rating</t>
  </si>
  <si>
    <t xml:space="preserve">Reviews</t>
  </si>
  <si>
    <t xml:space="preserve">Ratings by brand and review volume</t>
  </si>
  <si>
    <t xml:space="preserve">Is a higher price associated with better ratings?</t>
  </si>
  <si>
    <t xml:space="preserve">Biggest discounts in the current selection</t>
  </si>
  <si>
    <t xml:space="preserve">Now (M)</t>
  </si>
  <si>
    <t xml:space="preserve">Before (M)</t>
  </si>
  <si>
    <t xml:space="preserve">Off</t>
  </si>
  <si>
    <t xml:space="preserve">Discount = (old price − current price) / old price, as shown by the store. Blank rows mean there are fewer than 10 discounted laptops in the selection.</t>
  </si>
  <si>
    <t xml:space="preserve">Analysis tables (every figure respects the dashboard filters)</t>
  </si>
  <si>
    <t xml:space="preserve">A. KPIs</t>
  </si>
  <si>
    <t xml:space="preserve">metric</t>
  </si>
  <si>
    <t xml:space="preserve">value</t>
  </si>
  <si>
    <t xml:space="preserve">Laptops selected</t>
  </si>
  <si>
    <t xml:space="preserve">Laptops selected with a price</t>
  </si>
  <si>
    <t xml:space="preserve">Median price (M Toman)</t>
  </si>
  <si>
    <t xml:space="preserve">Average price (M Toman)</t>
  </si>
  <si>
    <t xml:space="preserve">Price Q1 (M Toman)</t>
  </si>
  <si>
    <t xml:space="preserve">Price Q3 (M Toman)</t>
  </si>
  <si>
    <t xml:space="preserve">Average rating (simple, rated laptops)</t>
  </si>
  <si>
    <t xml:space="preserve">Average rating (weighted by review count)</t>
  </si>
  <si>
    <t xml:space="preserve">Share of laptops with a discount</t>
  </si>
  <si>
    <t xml:space="preserve">Laptops with a discount</t>
  </si>
  <si>
    <t xml:space="preserve">Average discount (among discounted)</t>
  </si>
  <si>
    <t xml:space="preserve">Total reviews</t>
  </si>
  <si>
    <t xml:space="preserve">Dedicated-GPU share</t>
  </si>
  <si>
    <t xml:space="preserve">Laptops in rating/price scatter</t>
  </si>
  <si>
    <t xml:space="preserve">Correlation price vs rating (Pearson r)</t>
  </si>
  <si>
    <t xml:space="preserve">B. Brands (unsorted list from data) and ranked by number of laptops</t>
  </si>
  <si>
    <t xml:space="preserve">#</t>
  </si>
  <si>
    <t xml:space="preserve">brand</t>
  </si>
  <si>
    <t xml:space="preserve">laptops</t>
  </si>
  <si>
    <t xml:space="preserve">avg price (M)</t>
  </si>
  <si>
    <t xml:space="preserve">w. rating</t>
  </si>
  <si>
    <t xml:space="preserve">sort key</t>
  </si>
  <si>
    <t xml:space="preserve">rank</t>
  </si>
  <si>
    <t xml:space="preserve">C. Price distribution (M Toman)</t>
  </si>
  <si>
    <t xml:space="preserve">bin</t>
  </si>
  <si>
    <t xml:space="preserve">from</t>
  </si>
  <si>
    <t xml:space="preserve">to</t>
  </si>
  <si>
    <t xml:space="preserve">D. Price tier x CPU maker (stacked share)</t>
  </si>
  <si>
    <t xml:space="preserve">price tier</t>
  </si>
  <si>
    <t xml:space="preserve">Intel</t>
  </si>
  <si>
    <t xml:space="preserve">AMD</t>
  </si>
  <si>
    <t xml:space="preserve">Apple</t>
  </si>
  <si>
    <t xml:space="preserve">total</t>
  </si>
  <si>
    <t xml:space="preserve">E. Average price by RAM size</t>
  </si>
  <si>
    <t xml:space="preserve">RAM (GB)</t>
  </si>
  <si>
    <t xml:space="preserve">chart label</t>
  </si>
  <si>
    <t xml:space="preserve">F. CPU families (all) and top 10 by number of laptops</t>
  </si>
  <si>
    <t xml:space="preserve">family</t>
  </si>
  <si>
    <t xml:space="preserve">family (n)</t>
  </si>
  <si>
    <t xml:space="preserve">G. Dedicated vs integrated graphics</t>
  </si>
  <si>
    <t xml:space="preserve">avg weight (kg)</t>
  </si>
  <si>
    <t xml:space="preserve">avg RAM (GB)</t>
  </si>
  <si>
    <t xml:space="preserve">Dedicated</t>
  </si>
  <si>
    <t xml:space="preserve">Integrated</t>
  </si>
  <si>
    <t xml:space="preserve">H. Average price (M Toman) and laptop count: RAM class x storage class</t>
  </si>
  <si>
    <t xml:space="preserve">RAM \ storage</t>
  </si>
  <si>
    <t xml:space="preserve">≤ 256 GB</t>
  </si>
  <si>
    <t xml:space="preserve">512 GB</t>
  </si>
  <si>
    <t xml:space="preserve">1 TB +</t>
  </si>
  <si>
    <t xml:space="preserve">≤ 8 GB</t>
  </si>
  <si>
    <t xml:space="preserve">12–16 GB</t>
  </si>
  <si>
    <t xml:space="preserve">20 GB +</t>
  </si>
  <si>
    <t xml:space="preserve">I. Scatter data - selected laptops only (extra rows repeat the last selected point so nothing is drawn twice)</t>
  </si>
  <si>
    <t xml:space="preserve">weight kg (dedicated)</t>
  </si>
  <si>
    <t xml:space="preserve">price M (dedicated)</t>
  </si>
  <si>
    <t xml:space="preserve">weight kg (integrated)</t>
  </si>
  <si>
    <t xml:space="preserve">price M (integrated)</t>
  </si>
  <si>
    <t xml:space="preserve">price M (rating plot)</t>
  </si>
  <si>
    <t xml:space="preserve">rating</t>
  </si>
  <si>
    <t xml:space="preserve">n</t>
  </si>
  <si>
    <t xml:space="preserve">J. Review volume per laptop</t>
  </si>
  <si>
    <t xml:space="preserve">reviews per laptop</t>
  </si>
  <si>
    <t xml:space="preserve">1</t>
  </si>
  <si>
    <t xml:space="preserve">2–5</t>
  </si>
  <si>
    <t xml:space="preserve">6–20</t>
  </si>
  <si>
    <t xml:space="preserve">21–50</t>
  </si>
  <si>
    <t xml:space="preserve">51+</t>
  </si>
  <si>
    <t xml:space="preserve">K. Top 10 by weighted (Bayesian) rating</t>
  </si>
  <si>
    <t xml:space="preserve">key</t>
  </si>
  <si>
    <t xml:space="preserve">row</t>
  </si>
  <si>
    <t xml:space="preserve">name</t>
  </si>
  <si>
    <t xml:space="preserve">price (M)</t>
  </si>
  <si>
    <t xml:space="preserve">reviews</t>
  </si>
  <si>
    <t xml:space="preserve">weighted</t>
  </si>
  <si>
    <t xml:space="preserve">L. Biggest discounts</t>
  </si>
  <si>
    <t xml:space="preserve">old price (M)</t>
  </si>
  <si>
    <t xml:space="preserve">discount</t>
  </si>
  <si>
    <t xml:space="preserve">id</t>
  </si>
  <si>
    <t xml:space="preserve">brand_raw</t>
  </si>
  <si>
    <t xml:space="preserve">status</t>
  </si>
  <si>
    <t xml:space="preserve">price (Toman)</t>
  </si>
  <si>
    <t xml:space="preserve">price (M Toman)</t>
  </si>
  <si>
    <t xml:space="preserve">old_price (Toman)</t>
  </si>
  <si>
    <t xml:space="preserve">discount %</t>
  </si>
  <si>
    <t xml:space="preserve">has_discount</t>
  </si>
  <si>
    <t xml:space="preserve">rating_count</t>
  </si>
  <si>
    <t xml:space="preserve">weighted rating (Bayesian)</t>
  </si>
  <si>
    <t xml:space="preserve">cpu</t>
  </si>
  <si>
    <t xml:space="preserve">cpu_maker</t>
  </si>
  <si>
    <t xml:space="preserve">cpu_family</t>
  </si>
  <si>
    <t xml:space="preserve">ram_gb</t>
  </si>
  <si>
    <t xml:space="preserve">ram_class</t>
  </si>
  <si>
    <t xml:space="preserve">storage_part</t>
  </si>
  <si>
    <t xml:space="preserve">storage_gb</t>
  </si>
  <si>
    <t xml:space="preserve">storage_class</t>
  </si>
  <si>
    <t xml:space="preserve">screen_in</t>
  </si>
  <si>
    <t xml:space="preserve">weight_kg</t>
  </si>
  <si>
    <t xml:space="preserve">gpu</t>
  </si>
  <si>
    <t xml:space="preserve">gpu_brand</t>
  </si>
  <si>
    <t xml:space="preserve">gpu_type</t>
  </si>
  <si>
    <t xml:space="preserve">gpu_model</t>
  </si>
  <si>
    <t xml:space="preserve">price_tier</t>
  </si>
  <si>
    <t xml:space="preserve">M Toman per GB RAM</t>
  </si>
  <si>
    <t xml:space="preserve">is_laptop (name contains لپ تاپ)</t>
  </si>
  <si>
    <t xml:space="preserve">in_filter</t>
  </si>
  <si>
    <t xml:space="preserve">in_priced</t>
  </si>
  <si>
    <t xml:space="preserve">in_rated</t>
  </si>
  <si>
    <t xml:space="preserve">price_f (selected)</t>
  </si>
  <si>
    <t xml:space="preserve">brand_seq</t>
  </si>
  <si>
    <t xml:space="preserve">family_seq</t>
  </si>
  <si>
    <t xml:space="preserve">bayes_key</t>
  </si>
  <si>
    <t xml:space="preserve">disc_key</t>
  </si>
  <si>
    <t xml:space="preserve">sc_ded</t>
  </si>
  <si>
    <t xml:space="preserve">cum_ded</t>
  </si>
  <si>
    <t xml:space="preserve">sc_int</t>
  </si>
  <si>
    <t xml:space="preserve">cum_int</t>
  </si>
  <si>
    <t xml:space="preserve">sc_rate</t>
  </si>
  <si>
    <t xml:space="preserve">cum_rate</t>
  </si>
  <si>
    <t xml:space="preserve">rx (price if scatter)</t>
  </si>
  <si>
    <t xml:space="preserve">ry (rating if scatter)</t>
  </si>
  <si>
    <t xml:space="preserve">data issues found</t>
  </si>
  <si>
    <t xml:space="preserve">price</t>
  </si>
  <si>
    <t xml:space="preserve">old_price</t>
  </si>
  <si>
    <t xml:space="preserve">available</t>
  </si>
  <si>
    <t xml:space="preserve">ram</t>
  </si>
  <si>
    <t xml:space="preserve">storage</t>
  </si>
  <si>
    <t xml:space="preserve">screen_size</t>
  </si>
  <si>
    <t xml:space="preserve">weight</t>
  </si>
  <si>
    <t xml:space="preserve">لپ تاپ لنوو 15.6 اینچی مدل IdeaPad Slim 3 i3 1315U 8GB 512GB</t>
  </si>
  <si>
    <t xml:space="preserve">lenovo</t>
  </si>
  <si>
    <t xml:space="preserve">Core i3 1315U</t>
  </si>
  <si>
    <t xml:space="preserve">8 گیگابایت</t>
  </si>
  <si>
    <t xml:space="preserve">512 گیگابایت</t>
  </si>
  <si>
    <t xml:space="preserve">15.6 اینچ</t>
  </si>
  <si>
    <t xml:space="preserve">Intel UHD Graphics</t>
  </si>
  <si>
    <t xml:space="preserve">1.6 کیلوگرم</t>
  </si>
  <si>
    <t xml:space="preserve">لپ تاپ ام اس آی 15.6 اینچی مدل Cyborg 15 A13UC i7 13620H 16GB 1TB RTX 3050</t>
  </si>
  <si>
    <t xml:space="preserve">msi</t>
  </si>
  <si>
    <t xml:space="preserve">Core i7 13620H</t>
  </si>
  <si>
    <t xml:space="preserve">16 گیگابایت</t>
  </si>
  <si>
    <t xml:space="preserve">1 ترابایت</t>
  </si>
  <si>
    <t xml:space="preserve">NVIDIA GeForce RTX 3050</t>
  </si>
  <si>
    <t xml:space="preserve">1.98 کیلوگرم</t>
  </si>
  <si>
    <t xml:space="preserve">لپ تاپ لنوو 15.3 اینچی مدل IdeaPad Slim 3 i5 13420H 16GB 512GB</t>
  </si>
  <si>
    <t xml:space="preserve">Core i5 13420H</t>
  </si>
  <si>
    <t xml:space="preserve">15.3 اینچ</t>
  </si>
  <si>
    <t xml:space="preserve">لپ تاپ ایسوس 14 اینچی مدل Vivobook E410KA Celeron N4500 4GB 256GB 64GB</t>
  </si>
  <si>
    <t xml:space="preserve">asus</t>
  </si>
  <si>
    <t xml:space="preserve">Celeron N4500</t>
  </si>
  <si>
    <t xml:space="preserve">4 گیگابایت</t>
  </si>
  <si>
    <t xml:space="preserve">64 گیگابایت و 256 گیگابایت حافظه SSD</t>
  </si>
  <si>
    <t xml:space="preserve">14 اینچ</t>
  </si>
  <si>
    <t xml:space="preserve">1.30 کیلوگرم</t>
  </si>
  <si>
    <t xml:space="preserve">لپ تاپ اچ پی 15.6 اینچی مدل Victus 15 FA2082WM i5 13420H 16GB 512GB RTX4050</t>
  </si>
  <si>
    <t xml:space="preserve">hp</t>
  </si>
  <si>
    <t xml:space="preserve">NVIDIA GeForce RTX 4050</t>
  </si>
  <si>
    <t xml:space="preserve">2.29 کیلوگرم</t>
  </si>
  <si>
    <t xml:space="preserve">لپ تاپ 15.6 اینچی اچ پی مدل Victus 15 FA2013DX i5 13420H 16GB 512GB RTX 3050</t>
  </si>
  <si>
    <t xml:space="preserve">2.2 کیلوگرم</t>
  </si>
  <si>
    <t xml:space="preserve">لپ تاپ لنوو 15.3 اینچی مدل IdeaPad Slim 3 i7 13620H 16GB 512GB</t>
  </si>
  <si>
    <t xml:space="preserve">لپ تاپ 15.6 اینچی لنوو مدل IdeaPad 1 15IJL7 Celeron N4500 8GB 256GB</t>
  </si>
  <si>
    <t xml:space="preserve">256 گیگابایت</t>
  </si>
  <si>
    <t xml:space="preserve">1.55 کیلوگرم</t>
  </si>
  <si>
    <t xml:space="preserve">لپ تاپ ایسوس 15.6 اینچی مدل Vivobook X1504VA Core 7 ۱۵۰U 16GB 512GB</t>
  </si>
  <si>
    <t xml:space="preserve">Core 7 150U</t>
  </si>
  <si>
    <t xml:space="preserve">1.7 کیلوگرم</t>
  </si>
  <si>
    <t xml:space="preserve">لپ تاپ لنوو 15.6 اینچی مدل V15 G4 i5 13420H 16GB 512GB SSD</t>
  </si>
  <si>
    <t xml:space="preserve">لپ تاپ ایسوس 15.6 اینچی مدل Vivobook 15 X1504VA i7 1355U 16GB 512GB</t>
  </si>
  <si>
    <t xml:space="preserve">Core i7 1355U</t>
  </si>
  <si>
    <t xml:space="preserve">Intel Intel Iris Xe</t>
  </si>
  <si>
    <t xml:space="preserve">لپ تاپ ایسوس 15.6 اینچی مدل Vivobook X1504VA Core 7 ۱۵۰U 24GB 1TB</t>
  </si>
  <si>
    <t xml:space="preserve">24 گیگابایت</t>
  </si>
  <si>
    <t xml:space="preserve">لپ تاپ لنوو 15.6 اینچی مدل IdeaPad Slim 3 i3 1315U 8GB 256GB</t>
  </si>
  <si>
    <t xml:space="preserve">لپ تاپ ایسوس 15.6 اینچی مدل Vivobook F1504VA Core 5 120U 16GB 512GB</t>
  </si>
  <si>
    <t xml:space="preserve">Core 5 120U</t>
  </si>
  <si>
    <t xml:space="preserve">لپ تاپ 13 اینچی اپل مدل MacBook Neo A18 Pro 2026 8GB 512GB</t>
  </si>
  <si>
    <t xml:space="preserve">apple</t>
  </si>
  <si>
    <t xml:space="preserve">Apple A18 Pro</t>
  </si>
  <si>
    <t xml:space="preserve">13 اینچ</t>
  </si>
  <si>
    <t xml:space="preserve">1.23 کیلوگرم</t>
  </si>
  <si>
    <t xml:space="preserve">لپ تاپ 13 اینچی اپل مدل MacBook Neo A18 Pro 2026 8GB 256GB</t>
  </si>
  <si>
    <t xml:space="preserve">لپ تاپ ایسوس 15.6 اینچی مدل Vivobook 15 X1504VA i3 1315U 8GB 512GB</t>
  </si>
  <si>
    <t xml:space="preserve">لپ تاپ اچ پی 16 اینچی مدل OmniBook 5 Next Gen AI 16 ag1070wm Ryzen AI 7 350 16GB 512GB</t>
  </si>
  <si>
    <t xml:space="preserve">Ryzen AI 7 350</t>
  </si>
  <si>
    <t xml:space="preserve">16 اینچ</t>
  </si>
  <si>
    <t xml:space="preserve">AMD Radeon Graphics</t>
  </si>
  <si>
    <t xml:space="preserve">1.79 کیلوگرم</t>
  </si>
  <si>
    <t xml:space="preserve">لپ تاپ اچ پی 15.6 اینچی مدل HP 255R G10 R5 7535U 16GB 512GB</t>
  </si>
  <si>
    <t xml:space="preserve">Ryzen 5 7535U</t>
  </si>
  <si>
    <t xml:space="preserve">1.66 کیلوگرم</t>
  </si>
  <si>
    <t xml:space="preserve">لپ تاپ 15.6 اینچی اچ پی مدل Victus 15 FA2013DX i5 13420H 8GB 512GB RTX 3050</t>
  </si>
  <si>
    <t xml:space="preserve">لپ تاپ لنوو 15.6 اینچی IdeaPad Slim 3 R3 7320U 8GB 512GB</t>
  </si>
  <si>
    <t xml:space="preserve">Ryzen 3 7320U</t>
  </si>
  <si>
    <t xml:space="preserve">AMD Radeon 610M</t>
  </si>
  <si>
    <t xml:space="preserve">لپ تاپ ایسوس 15.6 اینچی مدل Vivobook X1504VA Core 7 150U 8GB 512GB IPS</t>
  </si>
  <si>
    <t xml:space="preserve">لپ تاپ ایسوس 15.6 اینچی مدل VivoBook E1504FA R5 7520U 8GB 512GB IPS</t>
  </si>
  <si>
    <t xml:space="preserve">Ryzen 5 7520U</t>
  </si>
  <si>
    <t xml:space="preserve">لپ تاپ ام اس آی 15.6 اینچی مدل KATANA 15 HX B14WFK Core i7 14650HX 16GB 1TB RTX 5060</t>
  </si>
  <si>
    <t xml:space="preserve">Core i7 14650HX</t>
  </si>
  <si>
    <t xml:space="preserve">NVIDIA GeForce RTX 5060</t>
  </si>
  <si>
    <t xml:space="preserve">2.4 کیلوگرم</t>
  </si>
  <si>
    <t xml:space="preserve">لپ تاپ لنوو 15.3 اینچی مدل IdeaPad Slim 3 i7 13620H 16GB 1TB</t>
  </si>
  <si>
    <t xml:space="preserve">لپ تاپ لنوو 15.6 اینچی مدل V15 G4 i5 13420H 8GB 512GB</t>
  </si>
  <si>
    <t xml:space="preserve">لپ تاپ لنوو 15.6 اینچی مدل LOQ 15IRX9 i7 13650HX 16GB 512GB RTX3050</t>
  </si>
  <si>
    <t xml:space="preserve">Core i7 13650HX</t>
  </si>
  <si>
    <t xml:space="preserve">لپ تاپ ایسوس 15.6 اینچی مدل Vivobook X1504VA Core 7 150U 16GB 512GB IPS</t>
  </si>
  <si>
    <t xml:space="preserve">لپ تاپ لنوو 15.6 اینچی مدل LOQ i5 13450HX 16GB 512GB RTX 5050</t>
  </si>
  <si>
    <t xml:space="preserve">Core i5 13450HX</t>
  </si>
  <si>
    <t xml:space="preserve">NVIDIA GeForce RTX 5050</t>
  </si>
  <si>
    <t xml:space="preserve">لپ تاپ 15.6 اینچی ایسوس مدل ExpertBook B1503CVA i5 1334U 16GB 512GB</t>
  </si>
  <si>
    <t xml:space="preserve">Core i5 1334U</t>
  </si>
  <si>
    <t xml:space="preserve">intel Intel Iris Xe</t>
  </si>
  <si>
    <t xml:space="preserve">1.63 کیلوگرم</t>
  </si>
  <si>
    <t xml:space="preserve">گوشی موبايل سامسونگ مدل Galaxy S25 FE ظرفیت 256 گیگابایت رم 8 گیگابایت - ویتنام</t>
  </si>
  <si>
    <t xml:space="preserve">samsung</t>
  </si>
  <si>
    <t xml:space="preserve">لپ تاپ ایسر 15.6 اینچی مدل Aspire 5 A15 i5 13420H 8GB 512GB</t>
  </si>
  <si>
    <t xml:space="preserve">acer</t>
  </si>
  <si>
    <t xml:space="preserve">1.77 کیلوگرم</t>
  </si>
  <si>
    <t xml:space="preserve">لپ تاپ 15.6 اینچ اچ پی مدل Victus 15 FA1082WM i5 13420H 16GB 512GB RTX 4050</t>
  </si>
  <si>
    <t xml:space="preserve">لپ تاپ ایسوس 14 اینچی مدل Vivobook E410KA Celeron N4500 4GB 64GB</t>
  </si>
  <si>
    <t xml:space="preserve">64 گیگابایت</t>
  </si>
  <si>
    <t xml:space="preserve">لپ تاپ ایسوس 14 اینچی مدل Vivobook E410KA Celeron N4500 4GB 512GB 64GB</t>
  </si>
  <si>
    <t xml:space="preserve">64 گیگابایت و 512 گیگابایت حافظه SSD</t>
  </si>
  <si>
    <t xml:space="preserve">لپ تاپ لنوو 15.6 اینچی V15 N4500 8GB 256GB</t>
  </si>
  <si>
    <t xml:space="preserve">لپ تاپ ایسوس 15.6 اینچی مدل Vivobook 15 X1504VA i7 1355U 24GB 1TB</t>
  </si>
  <si>
    <t xml:space="preserve">لپ تاپ ایسر 15.6 اینچی مدل Aspire Lite AL15 i5 13500H 8GB 512GB</t>
  </si>
  <si>
    <t xml:space="preserve">Core i5 13500H</t>
  </si>
  <si>
    <t xml:space="preserve">INTEL UHD Graphics</t>
  </si>
  <si>
    <t xml:space="preserve">لپ تاپ اچ پی 15.6 اینچی مدل Victus 15 FA2082WM i5 13420H 32GB 1TB RTX4050</t>
  </si>
  <si>
    <t xml:space="preserve">32 گیگابایت</t>
  </si>
  <si>
    <t xml:space="preserve">1TB</t>
  </si>
  <si>
    <t xml:space="preserve">لپ تاپ ایسوس 15.6 اینچی مدل Vivobook 15 X1504VA i3 1315U 16GB 512GB</t>
  </si>
  <si>
    <t xml:space="preserve">لپ تاپ ایسوس 16 اینچی مدل TUF Gaming F16 FX608JMR i7 14650HX 16GB 1TB RTX 5060</t>
  </si>
  <si>
    <t xml:space="preserve">لپ تاپ ایسوس 16 اینچی مدل TUF Gaming F16 FX608JMR i7 14650HX 32GB 1TB RTX 5060</t>
  </si>
  <si>
    <t xml:space="preserve">لپ تاپ ایسوس 16 اینچی مدل Vivobook 16 F1605VA Core i7 1355U 16GB 512GB</t>
  </si>
  <si>
    <t xml:space="preserve">لپ تاپ ایسوس 15.6 اینچی مدل Vivobook 15 X1504ZA i3 1215U 16GB 512GB</t>
  </si>
  <si>
    <t xml:space="preserve">Core i3 1215U</t>
  </si>
  <si>
    <t xml:space="preserve">لپ تاپ لنوو 15.3 اینچی مدل IdeaPad Slim 3 i5 13420H 8GB 512GB WUXGA Backlit</t>
  </si>
  <si>
    <t xml:space="preserve">لپ تاپ ایسوس 16 اینچی مدل ROG Strix G16 G615JMR i7 14650HX 16GB 1TB RTX 5060</t>
  </si>
  <si>
    <t xml:space="preserve">2.65 کیلوگرم</t>
  </si>
  <si>
    <t xml:space="preserve">لپ تاپ لنوو 15.6 اینچی مدل LOQ i7 14700HX 16GB 1TB RTX 5060</t>
  </si>
  <si>
    <t xml:space="preserve">Core i7 14700HX</t>
  </si>
  <si>
    <t xml:space="preserve">2.38 کیلوگرم</t>
  </si>
  <si>
    <t xml:space="preserve">لپ تاپ 15.6 اینچی اچ پی مدل Victus 15 FA2013DX i5 13420H 16GB 1TB RTX 3050</t>
  </si>
  <si>
    <t xml:space="preserve">لپ تاپ 15.6 اینچی لنوو مدل IdeaPad 1 15IJL7 Celeron N4500 16GB 256GB</t>
  </si>
  <si>
    <t xml:space="preserve">لپ تاپ 15.6 اینچی لنوو مدل IdeaPad 1 15IJL7 Celeron N4500 8GB 1TB</t>
  </si>
  <si>
    <t xml:space="preserve">لپ تاپ 15.6 اینچی لنوو مدل IdeaPad 1 15IJL7 Celeron N4500 8GB 512GB</t>
  </si>
  <si>
    <t xml:space="preserve">لپ تاپ ایسوس 15.6 اینچی مدل Vivobook X1504VA Core 7 ۱۵۰U 8GB 512GB</t>
  </si>
  <si>
    <t xml:space="preserve">لپ تاپ ایسوس 15.6 اینچی مدل Vivobook 15 X1504VA i7 1355U 16GB 1TB</t>
  </si>
  <si>
    <t xml:space="preserve">لپ تاپ ایسوس 15.6 اینچی مدل VivoBook E1504GA i3 N305 8GB 256GB</t>
  </si>
  <si>
    <t xml:space="preserve">Core i3 N305</t>
  </si>
  <si>
    <t xml:space="preserve">لپ تاپ 15.6 اینچی دل مدل 15 DC15250 Core i5 1334U 16GB 1TB</t>
  </si>
  <si>
    <t xml:space="preserve">dell</t>
  </si>
  <si>
    <t xml:space="preserve">Core i5 Core i5-1334U</t>
  </si>
  <si>
    <t xml:space="preserve">NVIDIA</t>
  </si>
  <si>
    <t xml:space="preserve">1.65 کیلوگرم</t>
  </si>
  <si>
    <t xml:space="preserve">لپ تاپ لنوو 15.6 اینچی مدل LOQ i7 13645HX 32GB 1TB RTX4050</t>
  </si>
  <si>
    <t xml:space="preserve">لپ تاپ ایسوس 16 اینچی مدل TUF Gaming FA607NUQ R7 170 12GB 512GB 6G RTX 4050</t>
  </si>
  <si>
    <t xml:space="preserve">Ryzen 7 170</t>
  </si>
  <si>
    <t xml:space="preserve">2.3 کیلوگرم</t>
  </si>
  <si>
    <t xml:space="preserve">لپ تاپ اپل 15.3 اینچی مدل MacBook Air MDVH4 M5 2026 16GB 512GB</t>
  </si>
  <si>
    <t xml:space="preserve">Apple M5 M5</t>
  </si>
  <si>
    <t xml:space="preserve">1.24 کیلوگرم</t>
  </si>
  <si>
    <t xml:space="preserve">لپ تاپ اپل 13.6 اینچی مدل MacBook Air MDH74 M5 2026 16GB 512GB</t>
  </si>
  <si>
    <t xml:space="preserve">13.6 اینچ</t>
  </si>
  <si>
    <t xml:space="preserve">لپ تاپ اچ پی 15.6 اینچی مدل Victus 15 FA2082WM i5 13420H 16GB 1TB RTX4050</t>
  </si>
  <si>
    <t xml:space="preserve">لپ تاپ اچ پی 15.6 اینچی مدل Victus 15 FA2082WM i5 13420H 32GB 512GB RTX4050</t>
  </si>
  <si>
    <t xml:space="preserve">لپ تاپ لنوو 15.6 اینچی V15 i7 13620H 16GB 512GB</t>
  </si>
  <si>
    <t xml:space="preserve">لپ تاپ لنوو 15.3 اینچی مدل IdeaPad Slim 3 i5 13420H 8GB 512GB</t>
  </si>
  <si>
    <t xml:space="preserve">لپ تاپ 16 اینچی ایسوس مدل TUF Gaming FX607VU CORE 5 210H 16GB 512GB RTX 4050</t>
  </si>
  <si>
    <t xml:space="preserve">Core 5 210H</t>
  </si>
  <si>
    <t xml:space="preserve">لپ تاپ لنوو 15.6 اینچی مدل IdeaPad 1 Celeron N4500 8GB 512GB FHD</t>
  </si>
  <si>
    <t xml:space="preserve">لپ تاپ ایسوس 15.6 اینچی مدل VivoBook Go 15 E1504FA R3 7320U 8GB 256GB</t>
  </si>
  <si>
    <t xml:space="preserve">لپ تاپ لنوو 15.6 اینچی مدل V15 G4 i5 13420H 16GB 1TB SSD</t>
  </si>
  <si>
    <t xml:space="preserve">لپ تاپ لنوو 15.6 اینچی مدل V15 G4 i3 1315U 16GB 256GB</t>
  </si>
  <si>
    <t xml:space="preserve">لپ تاپ لنوو 15.6 اینچی مدل LOQ 15IRX9 i5 13450HX 16GB 512GB RTX3050</t>
  </si>
  <si>
    <t xml:space="preserve">لپ تاپ ایسوس 15.6 اینچی مدل Vivobook 15 X1504ZA i3 1215U 12GB 512GB</t>
  </si>
  <si>
    <t xml:space="preserve">12 گیگابایت</t>
  </si>
  <si>
    <t xml:space="preserve">لپ تاپ ایسوس 15.6 اینچی مدل Vivobook 15 X1504VA i7 1355U 8GB 512GB</t>
  </si>
  <si>
    <t xml:space="preserve">لپ تاپ ایسوس 15.6 اینچی مدل VivoBook E1504FA R5 40 8GB 256GB IPS</t>
  </si>
  <si>
    <t xml:space="preserve">Ryzen 5 40</t>
  </si>
  <si>
    <t xml:space="preserve">لپ تاپ ایسوس 16 اینچی مدل TUF Gaming F16 FX607VJB Core 5 210H 16GB 512GB RTX 3050</t>
  </si>
  <si>
    <t xml:space="preserve">لپ تاپ اچ پی 15.6 اینچی مدل HP 15-FC0124nia 15 Ryzen 3 7320U 8GB 512GB</t>
  </si>
  <si>
    <t xml:space="preserve">1.59 کیلوگرم</t>
  </si>
  <si>
    <t xml:space="preserve">لپ تاپ ایسوس 16 اینچی مدل Vivobook X1605VA i7 13620H 16GB 1TB</t>
  </si>
  <si>
    <t xml:space="preserve">1.8 کیلوگرم</t>
  </si>
  <si>
    <t xml:space="preserve">لپ تاپ 15.6 اینچی ایسوس مدل ExpertBook B1503CVA i3 1315U 8GB 512GB</t>
  </si>
  <si>
    <t xml:space="preserve">لپ تاپ 15.6 اینچی ایسوس مدل ExpertBook B1503CVA i3 1315U 8GB 256GB</t>
  </si>
  <si>
    <t xml:space="preserve">لپ تاپ اچ پی 16 اینچی مدل OmniBook X Flip 14 fm0013dx Ultra 5 226V 16GB 512GB</t>
  </si>
  <si>
    <t xml:space="preserve">Ultra 5 226v</t>
  </si>
  <si>
    <t xml:space="preserve">Intel Arc Graphics</t>
  </si>
  <si>
    <t xml:space="preserve">1.39 کیلوگرم</t>
  </si>
  <si>
    <t xml:space="preserve">لپ تاپ ایسوس 16 اینچی مدل TUF Gaming FA607NUQ R7 170 16GB 1TB 6G RTX 4050</t>
  </si>
  <si>
    <t xml:space="preserve">لپ تاپ ایسوس 15.6 اینچی مدل Vivobook X1504VA Core 7 150U 16GB 1TB IPS</t>
  </si>
  <si>
    <t xml:space="preserve">لپ تاپ ام اس آی مدل VenturePro 15 A2RWEG Core 7 240H 16GB 1TB RTX 5050</t>
  </si>
  <si>
    <t xml:space="preserve">Core 7 240H</t>
  </si>
  <si>
    <t xml:space="preserve">1.9 کیلوگرم</t>
  </si>
  <si>
    <t xml:space="preserve">لپ تاپ دل 15.6 اینچی مدل DC15250 V Core 3 100U 16GB 512GB</t>
  </si>
  <si>
    <t xml:space="preserve">Core 3 100U</t>
  </si>
  <si>
    <t xml:space="preserve">لپ تاپ ایسوس 15.6 اینچی مدل Vivobook X1504VA Core 7 ۱۵۰U 16GB 1TB</t>
  </si>
  <si>
    <t xml:space="preserve">لپ تاپ ایسوس 15.6 اینچی مدل Vivobook 15 F1504VA Core5 120U 16GB 512GB Intel</t>
  </si>
  <si>
    <t xml:space="preserve">لپ تاپ ایسوس 16 اینچی مدل TUF Gaming FA607NUG R7 7445HS 16GB 1TB RTX 4050</t>
  </si>
  <si>
    <t xml:space="preserve">Ryzen 7 7445HS</t>
  </si>
  <si>
    <t xml:space="preserve">لپ تاپ 15.6 اینچی ایسوس مدل ExpertBook B1503CVA i5 1334U 20GB 512GB</t>
  </si>
  <si>
    <t xml:space="preserve">20 گیگابایت</t>
  </si>
  <si>
    <t xml:space="preserve">لپ تاپ ایسوس 16 اینچی مدل TUF Gaming FA607NUG R7 7445HS 16GB 512GB RTX 4050</t>
  </si>
  <si>
    <t xml:space="preserve">لپ تاپ لنوو 15.6 اینچی مدل V15 G4 i7 13620H 16GB 512GB</t>
  </si>
  <si>
    <t xml:space="preserve">لپ تاپ ام اس آی 15.6 اینچی مدل KATANA 15 HX B14WFK i9 14900HX 32GB 1TB RTX 5060</t>
  </si>
  <si>
    <t xml:space="preserve">Core i9 14900HX</t>
  </si>
  <si>
    <t xml:space="preserve">لپ تاپ ام اس آی 15.6 اینچی مدل KATANA 15 HX B14WFK i9 14900HX 16GB 1TB RTX 5060</t>
  </si>
  <si>
    <t xml:space="preserve">لپ تاپ ایسوس 15.6 اینچی مدل ExpertBook P1503CVA i7 13620H 32GB 512GB IPS</t>
  </si>
  <si>
    <t xml:space="preserve">لپ تاپ اچ پی 16 اینچی مدل OmniBook X Flip 16-as0023dx Ultra 7 256V 16GB 1TB</t>
  </si>
  <si>
    <t xml:space="preserve">Ultra 7 256V</t>
  </si>
  <si>
    <t xml:space="preserve">لپ تاپ ایسوس 16 اینچی مدل ROG Strix G16 G615JMR i7 14650HX 32GB 1TB RTX 5060</t>
  </si>
  <si>
    <t xml:space="preserve">لپ تاپ لنوو 15.6 اینچی مدل LOQ i7 14700HX 32GB 1TB RTX 5060</t>
  </si>
  <si>
    <t xml:space="preserve">لپ تاپ لنوو 15.6 اینچی مدل LOQ i7 14700HX 16GB 1TB RTX 5050</t>
  </si>
  <si>
    <t xml:space="preserve">لپ تاپ 15.6 اینچی اچ پی مدل Victus 15 FB3093DX R7 7445HS 16GB 512GB RTX 4050</t>
  </si>
  <si>
    <t xml:space="preserve">لپ تاپ لنوو 15.6 اینچی V15 R7 7730U 16GB 512GB</t>
  </si>
  <si>
    <t xml:space="preserve">Ryzen 7 7730U</t>
  </si>
  <si>
    <t xml:space="preserve">لپ تاپ ایسوس 14 اینچی مدل Zenbook 14 UX3405CA Ultra 9 285H 32GB 1TB</t>
  </si>
  <si>
    <t xml:space="preserve">Ultra 9 285H</t>
  </si>
  <si>
    <t xml:space="preserve">1.28 کیلوگرم</t>
  </si>
  <si>
    <t xml:space="preserve">لپ تاپ 16 اینچی ایسوس مدل TUF Gaming FX607VJ CORE 5 210H 16GB 512GB RTX 3050</t>
  </si>
  <si>
    <t xml:space="preserve">لپ تاپ ایسوس 15.6 اینچی مدل ExpertBook P1503CVA i7 13620H 16GB 512GB Fingerprint</t>
  </si>
  <si>
    <t xml:space="preserve">Parameters &amp; lookup lists</t>
  </si>
  <si>
    <t xml:space="preserve">Blue cells are inputs you can change; everything else is calculated.</t>
  </si>
  <si>
    <t xml:space="preserve">brand key (raw)</t>
  </si>
  <si>
    <t xml:space="preserve">brand display</t>
  </si>
  <si>
    <t xml:space="preserve">tier lower bound (M Toman)</t>
  </si>
  <si>
    <t xml:space="preserve">tier label</t>
  </si>
  <si>
    <t xml:space="preserve">parameter</t>
  </si>
  <si>
    <t xml:space="preserve">Brand filter list</t>
  </si>
  <si>
    <t xml:space="preserve">CPU maker list</t>
  </si>
  <si>
    <t xml:space="preserve">GPU type list</t>
  </si>
  <si>
    <t xml:space="preserve">Price tier list</t>
  </si>
  <si>
    <t xml:space="preserve">RAM class list</t>
  </si>
  <si>
    <t xml:space="preserve">ASUS</t>
  </si>
  <si>
    <t xml:space="preserve">&lt; 100 M</t>
  </si>
  <si>
    <t xml:space="preserve">Bayesian prior weight m (votes)</t>
  </si>
  <si>
    <t xml:space="preserve">Lenovo</t>
  </si>
  <si>
    <t xml:space="preserve">100–200 M</t>
  </si>
  <si>
    <t xml:space="preserve">Prior mean C (avg rating of rated laptops)</t>
  </si>
  <si>
    <t xml:space="preserve">HP</t>
  </si>
  <si>
    <t xml:space="preserve">200–300 M</t>
  </si>
  <si>
    <t xml:space="preserve">Histogram start (M Toman)</t>
  </si>
  <si>
    <t xml:space="preserve">MSI</t>
  </si>
  <si>
    <t xml:space="preserve">300–400 M</t>
  </si>
  <si>
    <t xml:space="preserve">Histogram bin width (M Toman)</t>
  </si>
  <si>
    <t xml:space="preserve">Unknown</t>
  </si>
  <si>
    <t xml:space="preserve">400 M +</t>
  </si>
  <si>
    <t xml:space="preserve">Exclude non-laptop products (1 = yes, 0 = no)</t>
  </si>
  <si>
    <t xml:space="preserve">Acer</t>
  </si>
  <si>
    <t xml:space="preserve">Dell</t>
  </si>
  <si>
    <t xml:space="preserve">Samsung</t>
  </si>
  <si>
    <t xml:space="preserve">microsoft</t>
  </si>
  <si>
    <t xml:space="preserve">Microsoft</t>
  </si>
  <si>
    <t xml:space="preserve">Notes: workflow, cleaning steps and assumptions</t>
  </si>
  <si>
    <t xml:space="preserve">WORKFLOW</t>
  </si>
  <si>
    <t xml:space="preserve">Raw</t>
  </si>
  <si>
    <t xml:space="preserve">The exact CSV produced by crawl.py (100 laptops). Never edited.</t>
  </si>
  <si>
    <t xml:space="preserve">Clean</t>
  </si>
  <si>
    <t xml:space="preserve">One row per laptop; every column is a formula on Raw (no pasted values). Columns up to 'price_per_ram' are the cleaned fields; teal-header columns on the right are helpers for filters, rankings and charts.</t>
  </si>
  <si>
    <t xml:space="preserve">Analysis</t>
  </si>
  <si>
    <t xml:space="preserve">Aggregation tables built with COUNTIFS / SUMIFS / AVERAGEIFS / SUMPRODUCT. All of them include the filter flag, so they react to the dropdowns.</t>
  </si>
  <si>
    <t xml:space="preserve">Dashboard / Specs / Ratings</t>
  </si>
  <si>
    <t xml:space="preserve">Presentation layer: KPI cards, charts and tables linked to Analysis. Filters live on the Dashboard sheet (named cells fBrand, fCPU, fGPU, fTier, fRAM).</t>
  </si>
  <si>
    <t xml:space="preserve">Params</t>
  </si>
  <si>
    <t xml:space="preserve">Editable inputs (blue): brand display names, price-tier boundaries, Bayesian rating settings, histogram bins, dropdown lists.</t>
  </si>
  <si>
    <t xml:space="preserve">CLEANING STEPS (all in Clean)</t>
  </si>
  <si>
    <t xml:space="preserve">Numbers from text</t>
  </si>
  <si>
    <t xml:space="preserve">ram, storage, screen size and weight are text like '8 گیگابایت' or '15.6 اینچ'; the leading number is extracted with LEFT/FIND/VALUE. The decimal separator is handled with MID(1/2,2,1) so it works in any Excel locale.</t>
  </si>
  <si>
    <t xml:space="preserve">Storage units</t>
  </si>
  <si>
    <t xml:space="preserve">'1 ترابایت' and '1TB' are converted to 1,024 GB. When two drives are listed (e.g. 64 GB eMMC + 256 GB SSD) the SSD part is used. Both cases are flagged in the 'data issues found' column.</t>
  </si>
  <si>
    <t xml:space="preserve">GPU names</t>
  </si>
  <si>
    <t xml:space="preserve">Names are inconsistent ('Intel Intel Iris Xe', 'intel …', 'INTEL UHD'). They are grouped by SEARCH into gpu_brand, gpu_type (Dedicated = RTX/GTX/NVIDIA/Radeon RX; otherwise Integrated) and gpu_model (RTX series).</t>
  </si>
  <si>
    <t xml:space="preserve">CPU</t>
  </si>
  <si>
    <t xml:space="preserve">cpu_maker is Intel / AMD / Apple from the name prefix; cpu_family is the first words (e.g. 'Core i7', 'Ryzen 5', 'Apple Silicon').</t>
  </si>
  <si>
    <t xml:space="preserve">Lower-case brand slugs are mapped to display names through the table on Params.</t>
  </si>
  <si>
    <t xml:space="preserve">Missing values</t>
  </si>
  <si>
    <t xml:space="preserve">Missing specs stay empty in Clean and are shown as 'Unknown' in categories; they are excluded from averages of that field. See the counts below.</t>
  </si>
  <si>
    <t xml:space="preserve">Non-laptop products</t>
  </si>
  <si>
    <t xml:space="preserve">The crawl contains one phone (id 165916, Samsung Galaxy S25 FE). Clean flags rows whose name lacks 'لپ تاپ' (is_laptop) and the dashboard leaves them out; set Params!H9 to 0 to include them again. Raw is untouched.</t>
  </si>
  <si>
    <t xml:space="preserve">Discount</t>
  </si>
  <si>
    <t xml:space="preserve">discount % = (old_price − price) / old_price; zero when there is no old_price.</t>
  </si>
  <si>
    <t xml:space="preserve">Weighted rating</t>
  </si>
  <si>
    <t xml:space="preserve">Bayesian average = (v·R + m·C)/(v + m), with v = reviews, R = rating, m = 10 (Params), C = mean rating of all rated laptops. It pulls ratings based on very few reviews toward the overall mean.</t>
  </si>
  <si>
    <t xml:space="preserve">ASSUMPTIONS &amp; LIMITS</t>
  </si>
  <si>
    <t xml:space="preserve">Snapshot</t>
  </si>
  <si>
    <t xml:space="preserve">Prices and availability change daily; this file describes the day the data was crawled.</t>
  </si>
  <si>
    <t xml:space="preserve">Units</t>
  </si>
  <si>
    <t xml:space="preserve">Prices are in Toman; charts use million Toman. The dataset has only the first 100 listed laptops, so conclusions apply to that sample.</t>
  </si>
  <si>
    <t xml:space="preserve">Price tiers &amp; RAM/storage classes</t>
  </si>
  <si>
    <t xml:space="preserve">Tier bounds are on Params. RAM class (≤8 / 12–16 / 20+ GB) and storage class (≤256 / 512 / 1 TB+) are fixed in the Clean formulas.</t>
  </si>
  <si>
    <t xml:space="preserve">Row count</t>
  </si>
  <si>
    <t xml:space="preserve">Formulas cover rows 2–101 of Raw. If you paste a longer dataset, extend the Clean formulas downward.</t>
  </si>
  <si>
    <t xml:space="preserve">Correlation</t>
  </si>
  <si>
    <t xml:space="preserve">Correlation does not imply causation. Averages built from very few laptops (see n in the labels) are unreliable.</t>
  </si>
  <si>
    <t xml:space="preserve">DATA QUALITY (live counts from Raw)</t>
  </si>
  <si>
    <t xml:space="preserve">Rows in Raw</t>
  </si>
  <si>
    <t xml:space="preserve">Duplicate ids</t>
  </si>
  <si>
    <t xml:space="preserve">Missing price (out of stock)</t>
  </si>
  <si>
    <t xml:space="preserve">Laptops with old_price (discount)</t>
  </si>
  <si>
    <t xml:space="preserve">Missing cpu</t>
  </si>
  <si>
    <t xml:space="preserve">Missing ram</t>
  </si>
  <si>
    <t xml:space="preserve">Missing storage</t>
  </si>
  <si>
    <t xml:space="preserve">Missing screen size</t>
  </si>
  <si>
    <t xml:space="preserve">Missing gpu</t>
  </si>
  <si>
    <t xml:space="preserve">Missing weight</t>
  </si>
  <si>
    <t xml:space="preserve">Storage rows with two drives</t>
  </si>
  <si>
    <t xml:space="preserve">Rows flagged in Clean 'data issues'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</si>
</sst>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#,##0.0"/>
    <numFmt numFmtId="167" formatCode="0.00"/>
    <numFmt numFmtId="168" formatCode="0.0%"/>
    <numFmt numFmtId="169" formatCode="0%"/>
    <numFmt numFmtId="170" formatCode="0;;;"/>
    <numFmt numFmtId="171" formatCode="#,##0.0;;;"/>
    <numFmt numFmtId="172" formatCode="#,##0"/>
    <numFmt numFmtId="173" formatCode="0.0"/>
    <numFmt numFmtId="174" formatCode="0.00;;;"/>
    <numFmt numFmtId="175" formatCode="0.000"/>
    <numFmt numFmtId="176" formatCode="0.000000"/>
    <numFmt numFmtId="177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6B7A90"/>
      <name val="Arial"/>
      <family val="0"/>
      <charset val="1"/>
    </font>
    <font>
      <b val="true"/>
      <u val="single"/>
      <sz val="9"/>
      <color rgb="FF2A9D8F"/>
      <name val="Arial"/>
      <family val="0"/>
      <charset val="1"/>
    </font>
    <font>
      <b val="true"/>
      <sz val="9"/>
      <color rgb="FF2A9D8F"/>
      <name val="Arial"/>
      <family val="0"/>
      <charset val="1"/>
    </font>
    <font>
      <b val="true"/>
      <sz val="9"/>
      <color rgb="FF6B7A9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24"/>
      <color rgb="FF1F3A5F"/>
      <name val="Arial"/>
      <family val="0"/>
      <charset val="1"/>
    </font>
    <font>
      <b val="true"/>
      <sz val="24"/>
      <color rgb="FF2A9D8F"/>
      <name val="Arial"/>
      <family val="0"/>
      <charset val="1"/>
    </font>
    <font>
      <b val="true"/>
      <sz val="24"/>
      <color rgb="FFE76F51"/>
      <name val="Arial"/>
      <family val="0"/>
      <charset val="1"/>
    </font>
    <font>
      <sz val="8"/>
      <color rgb="FF6B7A90"/>
      <name val="Arial"/>
      <family val="0"/>
      <charset val="1"/>
    </font>
    <font>
      <sz val="10"/>
      <color rgb="FF1B2A41"/>
      <name val="Arial"/>
      <family val="0"/>
      <charset val="1"/>
    </font>
    <font>
      <i val="true"/>
      <sz val="8"/>
      <color rgb="FF6B7A90"/>
      <name val="Arial"/>
      <family val="0"/>
      <charset val="1"/>
    </font>
    <font>
      <b val="true"/>
      <sz val="11"/>
      <color rgb="FF1F3A5F"/>
      <name val="Arial"/>
      <family val="2"/>
    </font>
    <font>
      <sz val="8"/>
      <color rgb="FF1B2A41"/>
      <name val="Arial"/>
      <family val="2"/>
    </font>
    <font>
      <sz val="9"/>
      <color rgb="FF1B2A41"/>
      <name val="Arial"/>
      <family val="2"/>
    </font>
    <font>
      <sz val="9"/>
      <color rgb="FF6B7A90"/>
      <name val="Arial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2"/>
      <color rgb="FF1B2A41"/>
      <name val="Arial"/>
      <family val="0"/>
      <charset val="1"/>
    </font>
    <font>
      <sz val="9"/>
      <color rgb="FF1B2A4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0"/>
      <color rgb="FF1B2A4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1F4F8"/>
        <bgColor rgb="FFFFF7E0"/>
      </patternFill>
    </fill>
    <fill>
      <patternFill patternType="solid">
        <fgColor rgb="FF1F3A5F"/>
        <bgColor rgb="FF1B2A41"/>
      </patternFill>
    </fill>
    <fill>
      <patternFill patternType="solid">
        <fgColor rgb="FFFFF7E0"/>
        <bgColor rgb="FFF1F4F8"/>
      </patternFill>
    </fill>
    <fill>
      <patternFill patternType="solid">
        <fgColor rgb="FFFFFFFF"/>
        <bgColor rgb="FFF1F4F8"/>
      </patternFill>
    </fill>
    <fill>
      <patternFill patternType="solid">
        <fgColor rgb="FF2A9D8F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E9C46A"/>
      </left>
      <right style="thin">
        <color rgb="FFE9C46A"/>
      </right>
      <top style="thin">
        <color rgb="FFE9C46A"/>
      </top>
      <bottom style="thin">
        <color rgb="FFE9C46A"/>
      </bottom>
      <diagonal/>
    </border>
    <border diagonalUp="false" diagonalDown="false">
      <left/>
      <right/>
      <top style="thick">
        <color rgb="FF1F3A5F"/>
      </top>
      <bottom/>
      <diagonal/>
    </border>
    <border diagonalUp="false" diagonalDown="false">
      <left/>
      <right/>
      <top style="thick">
        <color rgb="FF2A9D8F"/>
      </top>
      <bottom/>
      <diagonal/>
    </border>
    <border diagonalUp="false" diagonalDown="false">
      <left/>
      <right/>
      <top style="thick">
        <color rgb="FFE76F51"/>
      </top>
      <bottom/>
      <diagonal/>
    </border>
    <border diagonalUp="false" diagonalDown="false">
      <left/>
      <right/>
      <top/>
      <bottom style="medium">
        <color rgb="FF2A9D8F"/>
      </bottom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  <border diagonalUp="false" diagonalDown="false">
      <left/>
      <right/>
      <top/>
      <bottom style="hair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8" fontId="2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7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0"/>
      <rgbColor rgb="FF9999FF"/>
      <rgbColor rgb="FF993366"/>
      <rgbColor rgb="FFFFF7E0"/>
      <rgbColor rgb="FFE4E9F0"/>
      <rgbColor rgb="FF660066"/>
      <rgbColor rgb="FFE76F51"/>
      <rgbColor rgb="FF0066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4F8"/>
      <rgbColor rgb="FFCCFFCC"/>
      <rgbColor rgb="FFFFFF99"/>
      <rgbColor rgb="FF99CCFF"/>
      <rgbColor rgb="FFFF99CC"/>
      <rgbColor rgb="FFCC99FF"/>
      <rgbColor rgb="FFE9C46A"/>
      <rgbColor rgb="FF3366FF"/>
      <rgbColor rgb="FF33CCCC"/>
      <rgbColor rgb="FF99CC00"/>
      <rgbColor rgb="FFFFCC00"/>
      <rgbColor rgb="FFFF9900"/>
      <rgbColor rgb="FFFF6600"/>
      <rgbColor rgb="FF666699"/>
      <rgbColor rgb="FF8D99AE"/>
      <rgbColor rgb="FF1F3A5F"/>
      <rgbColor rgb="FF2A9D8F"/>
      <rgbColor rgb="FF003300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Laptops per brand (sorted)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Analysis!$I$23:$I$30</c:f>
              <c:strCache>
                <c:ptCount val="8"/>
                <c:pt idx="0">
                  <c:v>ASUS</c:v>
                </c:pt>
                <c:pt idx="1">
                  <c:v>Lenovo</c:v>
                </c:pt>
                <c:pt idx="2">
                  <c:v>HP</c:v>
                </c:pt>
                <c:pt idx="3">
                  <c:v>MSI</c:v>
                </c:pt>
                <c:pt idx="4">
                  <c:v>Apple</c:v>
                </c:pt>
                <c:pt idx="5">
                  <c:v>Acer</c:v>
                </c:pt>
                <c:pt idx="6">
                  <c:v>Dell</c:v>
                </c:pt>
                <c:pt idx="7">
                  <c:v>Samsung</c:v>
                </c:pt>
              </c:strCache>
            </c:strRef>
          </c:cat>
          <c:val>
            <c:numRef>
              <c:f>Analysis!$J$23:$J$30</c:f>
              <c:numCache>
                <c:formatCode>General</c:formatCode>
                <c:ptCount val="8"/>
                <c:pt idx="0">
                  <c:v>44</c:v>
                </c:pt>
                <c:pt idx="1">
                  <c:v>28</c:v>
                </c:pt>
                <c:pt idx="2">
                  <c:v>14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gapWidth val="60"/>
        <c:overlap val="0"/>
        <c:axId val="77548379"/>
        <c:axId val="6615370"/>
      </c:barChart>
      <c:catAx>
        <c:axId val="775483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6615370"/>
        <c:crosses val="autoZero"/>
        <c:auto val="1"/>
        <c:lblAlgn val="ctr"/>
        <c:lblOffset val="100"/>
        <c:noMultiLvlLbl val="0"/>
      </c:catAx>
      <c:valAx>
        <c:axId val="661537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Number of laptops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7754837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Average price per brand (M Toman)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numFmt formatCode="#,##0.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Analysis!$I$23:$I$30</c:f>
              <c:strCache>
                <c:ptCount val="8"/>
                <c:pt idx="0">
                  <c:v>ASUS</c:v>
                </c:pt>
                <c:pt idx="1">
                  <c:v>Lenovo</c:v>
                </c:pt>
                <c:pt idx="2">
                  <c:v>HP</c:v>
                </c:pt>
                <c:pt idx="3">
                  <c:v>MSI</c:v>
                </c:pt>
                <c:pt idx="4">
                  <c:v>Apple</c:v>
                </c:pt>
                <c:pt idx="5">
                  <c:v>Acer</c:v>
                </c:pt>
                <c:pt idx="6">
                  <c:v>Dell</c:v>
                </c:pt>
                <c:pt idx="7">
                  <c:v>Samsung</c:v>
                </c:pt>
              </c:strCache>
            </c:strRef>
          </c:cat>
          <c:val>
            <c:numRef>
              <c:f>Analysis!$K$23:$K$30</c:f>
              <c:numCache>
                <c:formatCode>#,##0.0</c:formatCode>
                <c:ptCount val="8"/>
                <c:pt idx="0">
                  <c:v>234.572727272727</c:v>
                </c:pt>
                <c:pt idx="1">
                  <c:v>209.160642857143</c:v>
                </c:pt>
                <c:pt idx="2">
                  <c:v>250.892857142857</c:v>
                </c:pt>
                <c:pt idx="3">
                  <c:v>376.1</c:v>
                </c:pt>
                <c:pt idx="4">
                  <c:v>325.8475</c:v>
                </c:pt>
                <c:pt idx="5">
                  <c:v>152.6</c:v>
                </c:pt>
                <c:pt idx="6">
                  <c:v>180.25</c:v>
                </c:pt>
                <c:pt idx="7">
                  <c:v>0</c:v>
                </c:pt>
              </c:numCache>
            </c:numRef>
          </c:val>
        </c:ser>
        <c:gapWidth val="60"/>
        <c:overlap val="0"/>
        <c:axId val="82088662"/>
        <c:axId val="1517453"/>
      </c:barChart>
      <c:catAx>
        <c:axId val="820886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1517453"/>
        <c:crosses val="autoZero"/>
        <c:auto val="1"/>
        <c:lblAlgn val="ctr"/>
        <c:lblOffset val="100"/>
        <c:noMultiLvlLbl val="0"/>
      </c:catAx>
      <c:valAx>
        <c:axId val="151745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Average price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8208866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Price distribution (laptops per 50 M Toman band)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Analysis!$A$35:$A$44</c:f>
              <c:strCache>
                <c:ptCount val="10"/>
                <c:pt idx="0">
                  <c:v>50–100</c:v>
                </c:pt>
                <c:pt idx="1">
                  <c:v>100–150</c:v>
                </c:pt>
                <c:pt idx="2">
                  <c:v>150–200</c:v>
                </c:pt>
                <c:pt idx="3">
                  <c:v>200–250</c:v>
                </c:pt>
                <c:pt idx="4">
                  <c:v>250–300</c:v>
                </c:pt>
                <c:pt idx="5">
                  <c:v>300–350</c:v>
                </c:pt>
                <c:pt idx="6">
                  <c:v>350–400</c:v>
                </c:pt>
                <c:pt idx="7">
                  <c:v>400–450</c:v>
                </c:pt>
                <c:pt idx="8">
                  <c:v>450–500</c:v>
                </c:pt>
                <c:pt idx="9">
                  <c:v>500+</c:v>
                </c:pt>
              </c:strCache>
            </c:strRef>
          </c:cat>
          <c:val>
            <c:numRef>
              <c:f>Analysis!$D$35:$D$44</c:f>
              <c:numCache>
                <c:formatCode>General</c:formatCode>
                <c:ptCount val="10"/>
                <c:pt idx="0">
                  <c:v>5</c:v>
                </c:pt>
                <c:pt idx="1">
                  <c:v>18</c:v>
                </c:pt>
                <c:pt idx="2">
                  <c:v>22</c:v>
                </c:pt>
                <c:pt idx="3">
                  <c:v>17</c:v>
                </c:pt>
                <c:pt idx="4">
                  <c:v>14</c:v>
                </c:pt>
                <c:pt idx="5">
                  <c:v>9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</c:ser>
        <c:gapWidth val="8"/>
        <c:overlap val="0"/>
        <c:axId val="21867645"/>
        <c:axId val="75036932"/>
      </c:barChart>
      <c:catAx>
        <c:axId val="21867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Price band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75036932"/>
        <c:crosses val="autoZero"/>
        <c:auto val="1"/>
        <c:lblAlgn val="ctr"/>
        <c:lblOffset val="100"/>
        <c:noMultiLvlLbl val="0"/>
      </c:catAx>
      <c:valAx>
        <c:axId val="7503693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Number of laptops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218676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Who powers each price tier? (CPU maker)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"Intel"</c:f>
              <c:strCache>
                <c:ptCount val="1"/>
                <c:pt idx="0">
                  <c:v>Intel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Analysis!$A$49:$A$53</c:f>
              <c:strCache>
                <c:ptCount val="5"/>
                <c:pt idx="0">
                  <c:v>&lt; 100 M</c:v>
                </c:pt>
                <c:pt idx="1">
                  <c:v>100–200 M</c:v>
                </c:pt>
                <c:pt idx="2">
                  <c:v>200–300 M</c:v>
                </c:pt>
                <c:pt idx="3">
                  <c:v>300–400 M</c:v>
                </c:pt>
                <c:pt idx="4">
                  <c:v>400 M +</c:v>
                </c:pt>
              </c:strCache>
            </c:strRef>
          </c:cat>
          <c:val>
            <c:numRef>
              <c:f>Analysis!$B$49:$B$53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26</c:v>
                </c:pt>
                <c:pt idx="3">
                  <c:v>7</c:v>
                </c:pt>
                <c:pt idx="4">
                  <c:v>11</c:v>
                </c:pt>
              </c:numCache>
            </c:numRef>
          </c:val>
        </c:ser>
        <c:ser>
          <c:idx val="1"/>
          <c:order val="1"/>
          <c:tx>
            <c:strRef>
              <c:f>"AMD"</c:f>
              <c:strCache>
                <c:ptCount val="1"/>
                <c:pt idx="0">
                  <c:v>AMD</c:v>
                </c:pt>
              </c:strCache>
            </c:strRef>
          </c:tx>
          <c:spPr>
            <a:solidFill>
              <a:srgbClr val="e76f5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Analysis!$A$49:$A$53</c:f>
              <c:strCache>
                <c:ptCount val="5"/>
                <c:pt idx="0">
                  <c:v>&lt; 100 M</c:v>
                </c:pt>
                <c:pt idx="1">
                  <c:v>100–200 M</c:v>
                </c:pt>
                <c:pt idx="2">
                  <c:v>200–300 M</c:v>
                </c:pt>
                <c:pt idx="3">
                  <c:v>300–400 M</c:v>
                </c:pt>
                <c:pt idx="4">
                  <c:v>400 M +</c:v>
                </c:pt>
              </c:strCache>
            </c:strRef>
          </c:cat>
          <c:val>
            <c:numRef>
              <c:f>Analysis!$C$49:$C$53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"Apple"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rgbClr val="8d99a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Analysis!$A$49:$A$53</c:f>
              <c:strCache>
                <c:ptCount val="5"/>
                <c:pt idx="0">
                  <c:v>&lt; 100 M</c:v>
                </c:pt>
                <c:pt idx="1">
                  <c:v>100–200 M</c:v>
                </c:pt>
                <c:pt idx="2">
                  <c:v>200–300 M</c:v>
                </c:pt>
                <c:pt idx="3">
                  <c:v>300–400 M</c:v>
                </c:pt>
                <c:pt idx="4">
                  <c:v>400 M +</c:v>
                </c:pt>
              </c:strCache>
            </c:strRef>
          </c:cat>
          <c:val>
            <c:numRef>
              <c:f>Analysis!$D$49:$D$53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40"/>
        <c:overlap val="100"/>
        <c:axId val="29949088"/>
        <c:axId val="67844271"/>
      </c:barChart>
      <c:catAx>
        <c:axId val="299490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Price tier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67844271"/>
        <c:crosses val="autoZero"/>
        <c:auto val="1"/>
        <c:lblAlgn val="ctr"/>
        <c:lblOffset val="100"/>
        <c:noMultiLvlLbl val="0"/>
      </c:catAx>
      <c:valAx>
        <c:axId val="678442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Number of laptops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299490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Average price by RAM size (M Toman)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numFmt formatCode="#,##0.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Analysis!$D$58:$D$64</c:f>
              <c:strCache>
                <c:ptCount val="7"/>
                <c:pt idx="0">
                  <c:v>4 GB (n=3)</c:v>
                </c:pt>
                <c:pt idx="1">
                  <c:v>8 GB (n=27)</c:v>
                </c:pt>
                <c:pt idx="2">
                  <c:v>12 GB (n=1)</c:v>
                </c:pt>
                <c:pt idx="3">
                  <c:v>16 GB (n=56)</c:v>
                </c:pt>
                <c:pt idx="4">
                  <c:v>20 GB (n=1)</c:v>
                </c:pt>
                <c:pt idx="5">
                  <c:v>24 GB (n=2)</c:v>
                </c:pt>
                <c:pt idx="6">
                  <c:v>32 GB (n=9)</c:v>
                </c:pt>
              </c:strCache>
            </c:strRef>
          </c:cat>
          <c:val>
            <c:numRef>
              <c:f>Analysis!$C$58:$C$64</c:f>
              <c:numCache>
                <c:formatCode>#,##0.0</c:formatCode>
                <c:ptCount val="7"/>
                <c:pt idx="0">
                  <c:v>68.2</c:v>
                </c:pt>
                <c:pt idx="1">
                  <c:v>147.796222222222</c:v>
                </c:pt>
                <c:pt idx="2">
                  <c:v>144</c:v>
                </c:pt>
                <c:pt idx="3">
                  <c:v>262.365892857143</c:v>
                </c:pt>
                <c:pt idx="4">
                  <c:v>223</c:v>
                </c:pt>
                <c:pt idx="5">
                  <c:v>227</c:v>
                </c:pt>
                <c:pt idx="6">
                  <c:v>425.688888888889</c:v>
                </c:pt>
              </c:numCache>
            </c:numRef>
          </c:val>
        </c:ser>
        <c:gapWidth val="60"/>
        <c:overlap val="0"/>
        <c:axId val="21921942"/>
        <c:axId val="80426105"/>
      </c:barChart>
      <c:catAx>
        <c:axId val="219219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RAM size (n = laptops)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80426105"/>
        <c:crosses val="autoZero"/>
        <c:auto val="1"/>
        <c:lblAlgn val="ctr"/>
        <c:lblOffset val="100"/>
        <c:noMultiLvlLbl val="0"/>
      </c:catAx>
      <c:valAx>
        <c:axId val="8042610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Average price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21921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Average price by CPU family – 10 most common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numFmt formatCode="#,##0.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Analysis!$H$69:$H$78</c:f>
              <c:strCache>
                <c:ptCount val="10"/>
                <c:pt idx="0">
                  <c:v>Core i7 (n=23)</c:v>
                </c:pt>
                <c:pt idx="1">
                  <c:v>Core i5 (n=21)</c:v>
                </c:pt>
                <c:pt idx="2">
                  <c:v>Core i3 (n=10)</c:v>
                </c:pt>
                <c:pt idx="3">
                  <c:v>Celeron (n=9)</c:v>
                </c:pt>
                <c:pt idx="4">
                  <c:v>Core 7 (n=8)</c:v>
                </c:pt>
                <c:pt idx="5">
                  <c:v>Ryzen 7 (n=6)</c:v>
                </c:pt>
                <c:pt idx="6">
                  <c:v>Core 5 (n=5)</c:v>
                </c:pt>
                <c:pt idx="7">
                  <c:v>Apple Silicon (n=4)</c:v>
                </c:pt>
                <c:pt idx="8">
                  <c:v>Ryzen 5 (n=3)</c:v>
                </c:pt>
                <c:pt idx="9">
                  <c:v>Ryzen 3 (n=3)</c:v>
                </c:pt>
              </c:strCache>
            </c:strRef>
          </c:cat>
          <c:val>
            <c:numRef>
              <c:f>Analysis!$J$69:$J$78</c:f>
              <c:numCache>
                <c:formatCode>#,##0.0</c:formatCode>
                <c:ptCount val="10"/>
                <c:pt idx="0">
                  <c:v>322.847826086957</c:v>
                </c:pt>
                <c:pt idx="1">
                  <c:v>225.385714285714</c:v>
                </c:pt>
                <c:pt idx="2">
                  <c:v>140.1798</c:v>
                </c:pt>
                <c:pt idx="3">
                  <c:v>93.3666666666667</c:v>
                </c:pt>
                <c:pt idx="4">
                  <c:v>212.3375</c:v>
                </c:pt>
                <c:pt idx="5">
                  <c:v>292.683333333333</c:v>
                </c:pt>
                <c:pt idx="6">
                  <c:v>250.4</c:v>
                </c:pt>
                <c:pt idx="7">
                  <c:v>325.8475</c:v>
                </c:pt>
                <c:pt idx="8">
                  <c:v>145.633333333333</c:v>
                </c:pt>
                <c:pt idx="9">
                  <c:v>126.266666666667</c:v>
                </c:pt>
              </c:numCache>
            </c:numRef>
          </c:val>
        </c:ser>
        <c:gapWidth val="60"/>
        <c:overlap val="0"/>
        <c:axId val="23682050"/>
        <c:axId val="88310366"/>
      </c:barChart>
      <c:catAx>
        <c:axId val="2368205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88310366"/>
        <c:crosses val="autoZero"/>
        <c:auto val="1"/>
        <c:lblAlgn val="ctr"/>
        <c:lblOffset val="100"/>
        <c:noMultiLvlLbl val="0"/>
      </c:catAx>
      <c:valAx>
        <c:axId val="8831036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Average price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2368205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Average price: dedicated vs integrated GPU (M Toman)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76f51"/>
            </a:solidFill>
            <a:ln w="0">
              <a:noFill/>
            </a:ln>
          </c:spPr>
          <c:invertIfNegative val="0"/>
          <c:dLbls>
            <c:numFmt formatCode="#,##0.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Analysis!$A$98:$A$99</c:f>
              <c:strCache>
                <c:ptCount val="2"/>
                <c:pt idx="0">
                  <c:v>Dedicated</c:v>
                </c:pt>
                <c:pt idx="1">
                  <c:v>Integrated</c:v>
                </c:pt>
              </c:strCache>
            </c:strRef>
          </c:cat>
          <c:val>
            <c:numRef>
              <c:f>Analysis!$C$98:$C$99</c:f>
              <c:numCache>
                <c:formatCode>#,##0.0</c:formatCode>
                <c:ptCount val="2"/>
                <c:pt idx="0">
                  <c:v>343.830303030303</c:v>
                </c:pt>
                <c:pt idx="1">
                  <c:v>184.748303030303</c:v>
                </c:pt>
              </c:numCache>
            </c:numRef>
          </c:val>
        </c:ser>
        <c:gapWidth val="120"/>
        <c:overlap val="0"/>
        <c:axId val="47947924"/>
        <c:axId val="75503918"/>
      </c:barChart>
      <c:catAx>
        <c:axId val="47947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Graphics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75503918"/>
        <c:crosses val="autoZero"/>
        <c:auto val="1"/>
        <c:lblAlgn val="ctr"/>
        <c:lblOffset val="100"/>
        <c:noMultiLvlLbl val="0"/>
      </c:catAx>
      <c:valAx>
        <c:axId val="7550391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Average price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47947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Price vs weight, by graphics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"Dedicated GPU"</c:f>
              <c:strCache>
                <c:ptCount val="1"/>
                <c:pt idx="0">
                  <c:v>Dedicated GPU</c:v>
                </c:pt>
              </c:strCache>
            </c:strRef>
          </c:tx>
          <c:spPr>
            <a:solidFill>
              <a:srgbClr val="e76f51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Analysis!$B$112:$B$211</c:f>
              <c:numCache>
                <c:formatCode>0.00</c:formatCode>
                <c:ptCount val="100"/>
                <c:pt idx="0">
                  <c:v>1.98</c:v>
                </c:pt>
                <c:pt idx="1">
                  <c:v>2.29</c:v>
                </c:pt>
                <c:pt idx="2">
                  <c:v>2.2</c:v>
                </c:pt>
                <c:pt idx="3">
                  <c:v>2.2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2.29</c:v>
                </c:pt>
                <c:pt idx="8">
                  <c:v>2.29</c:v>
                </c:pt>
                <c:pt idx="9">
                  <c:v>2.2</c:v>
                </c:pt>
                <c:pt idx="10">
                  <c:v>2.2</c:v>
                </c:pt>
                <c:pt idx="11">
                  <c:v>2.65</c:v>
                </c:pt>
                <c:pt idx="12">
                  <c:v>2.38</c:v>
                </c:pt>
                <c:pt idx="13">
                  <c:v>2.2</c:v>
                </c:pt>
                <c:pt idx="14">
                  <c:v>1.65</c:v>
                </c:pt>
                <c:pt idx="15">
                  <c:v>2.4</c:v>
                </c:pt>
                <c:pt idx="16">
                  <c:v>2.3</c:v>
                </c:pt>
                <c:pt idx="17">
                  <c:v>2.29</c:v>
                </c:pt>
                <c:pt idx="18">
                  <c:v>2.29</c:v>
                </c:pt>
                <c:pt idx="19">
                  <c:v>2.2</c:v>
                </c:pt>
                <c:pt idx="20">
                  <c:v>2.4</c:v>
                </c:pt>
                <c:pt idx="21">
                  <c:v>2.2</c:v>
                </c:pt>
                <c:pt idx="22">
                  <c:v>2.3</c:v>
                </c:pt>
                <c:pt idx="23">
                  <c:v>1.9</c:v>
                </c:pt>
                <c:pt idx="24">
                  <c:v>2.3</c:v>
                </c:pt>
                <c:pt idx="25">
                  <c:v>2.3</c:v>
                </c:pt>
                <c:pt idx="26">
                  <c:v>2.4</c:v>
                </c:pt>
                <c:pt idx="27">
                  <c:v>2.4</c:v>
                </c:pt>
                <c:pt idx="28">
                  <c:v>2.65</c:v>
                </c:pt>
                <c:pt idx="29">
                  <c:v>2.38</c:v>
                </c:pt>
                <c:pt idx="30">
                  <c:v>2.38</c:v>
                </c:pt>
                <c:pt idx="31">
                  <c:v>2.3</c:v>
                </c:pt>
                <c:pt idx="32">
                  <c:v>2.2</c:v>
                </c:pt>
                <c:pt idx="33">
                  <c:v>2.2</c:v>
                </c:pt>
                <c:pt idx="34">
                  <c:v>2.2</c:v>
                </c:pt>
                <c:pt idx="35">
                  <c:v>2.2</c:v>
                </c:pt>
                <c:pt idx="36">
                  <c:v>2.2</c:v>
                </c:pt>
                <c:pt idx="37">
                  <c:v>2.2</c:v>
                </c:pt>
                <c:pt idx="38">
                  <c:v>2.2</c:v>
                </c:pt>
                <c:pt idx="39">
                  <c:v>2.2</c:v>
                </c:pt>
                <c:pt idx="40">
                  <c:v>2.2</c:v>
                </c:pt>
                <c:pt idx="41">
                  <c:v>2.2</c:v>
                </c:pt>
                <c:pt idx="42">
                  <c:v>2.2</c:v>
                </c:pt>
                <c:pt idx="43">
                  <c:v>2.2</c:v>
                </c:pt>
                <c:pt idx="44">
                  <c:v>2.2</c:v>
                </c:pt>
                <c:pt idx="45">
                  <c:v>2.2</c:v>
                </c:pt>
                <c:pt idx="46">
                  <c:v>2.2</c:v>
                </c:pt>
                <c:pt idx="47">
                  <c:v>2.2</c:v>
                </c:pt>
                <c:pt idx="48">
                  <c:v>2.2</c:v>
                </c:pt>
                <c:pt idx="49">
                  <c:v>2.2</c:v>
                </c:pt>
                <c:pt idx="50">
                  <c:v>2.2</c:v>
                </c:pt>
                <c:pt idx="51">
                  <c:v>2.2</c:v>
                </c:pt>
                <c:pt idx="52">
                  <c:v>2.2</c:v>
                </c:pt>
                <c:pt idx="53">
                  <c:v>2.2</c:v>
                </c:pt>
                <c:pt idx="54">
                  <c:v>2.2</c:v>
                </c:pt>
                <c:pt idx="55">
                  <c:v>2.2</c:v>
                </c:pt>
                <c:pt idx="56">
                  <c:v>2.2</c:v>
                </c:pt>
                <c:pt idx="57">
                  <c:v>2.2</c:v>
                </c:pt>
                <c:pt idx="58">
                  <c:v>2.2</c:v>
                </c:pt>
                <c:pt idx="59">
                  <c:v>2.2</c:v>
                </c:pt>
                <c:pt idx="60">
                  <c:v>2.2</c:v>
                </c:pt>
                <c:pt idx="61">
                  <c:v>2.2</c:v>
                </c:pt>
                <c:pt idx="62">
                  <c:v>2.2</c:v>
                </c:pt>
                <c:pt idx="63">
                  <c:v>2.2</c:v>
                </c:pt>
                <c:pt idx="64">
                  <c:v>2.2</c:v>
                </c:pt>
                <c:pt idx="65">
                  <c:v>2.2</c:v>
                </c:pt>
                <c:pt idx="66">
                  <c:v>2.2</c:v>
                </c:pt>
                <c:pt idx="67">
                  <c:v>2.2</c:v>
                </c:pt>
                <c:pt idx="68">
                  <c:v>2.2</c:v>
                </c:pt>
                <c:pt idx="69">
                  <c:v>2.2</c:v>
                </c:pt>
                <c:pt idx="70">
                  <c:v>2.2</c:v>
                </c:pt>
                <c:pt idx="71">
                  <c:v>2.2</c:v>
                </c:pt>
                <c:pt idx="72">
                  <c:v>2.2</c:v>
                </c:pt>
                <c:pt idx="73">
                  <c:v>2.2</c:v>
                </c:pt>
                <c:pt idx="74">
                  <c:v>2.2</c:v>
                </c:pt>
                <c:pt idx="75">
                  <c:v>2.2</c:v>
                </c:pt>
                <c:pt idx="76">
                  <c:v>2.2</c:v>
                </c:pt>
                <c:pt idx="77">
                  <c:v>2.2</c:v>
                </c:pt>
                <c:pt idx="78">
                  <c:v>2.2</c:v>
                </c:pt>
                <c:pt idx="79">
                  <c:v>2.2</c:v>
                </c:pt>
                <c:pt idx="80">
                  <c:v>2.2</c:v>
                </c:pt>
                <c:pt idx="81">
                  <c:v>2.2</c:v>
                </c:pt>
                <c:pt idx="82">
                  <c:v>2.2</c:v>
                </c:pt>
                <c:pt idx="83">
                  <c:v>2.2</c:v>
                </c:pt>
                <c:pt idx="84">
                  <c:v>2.2</c:v>
                </c:pt>
                <c:pt idx="85">
                  <c:v>2.2</c:v>
                </c:pt>
                <c:pt idx="86">
                  <c:v>2.2</c:v>
                </c:pt>
                <c:pt idx="87">
                  <c:v>2.2</c:v>
                </c:pt>
                <c:pt idx="88">
                  <c:v>2.2</c:v>
                </c:pt>
                <c:pt idx="89">
                  <c:v>2.2</c:v>
                </c:pt>
                <c:pt idx="90">
                  <c:v>2.2</c:v>
                </c:pt>
                <c:pt idx="91">
                  <c:v>2.2</c:v>
                </c:pt>
                <c:pt idx="92">
                  <c:v>2.2</c:v>
                </c:pt>
                <c:pt idx="93">
                  <c:v>2.2</c:v>
                </c:pt>
                <c:pt idx="94">
                  <c:v>2.2</c:v>
                </c:pt>
                <c:pt idx="95">
                  <c:v>2.2</c:v>
                </c:pt>
                <c:pt idx="96">
                  <c:v>2.2</c:v>
                </c:pt>
                <c:pt idx="97">
                  <c:v>2.2</c:v>
                </c:pt>
                <c:pt idx="98">
                  <c:v>2.2</c:v>
                </c:pt>
                <c:pt idx="99">
                  <c:v>2.2</c:v>
                </c:pt>
              </c:numCache>
            </c:numRef>
          </c:xVal>
          <c:yVal>
            <c:numRef>
              <c:f>Analysis!$C$112:$C$211</c:f>
              <c:numCache>
                <c:formatCode>#,##0.0</c:formatCode>
                <c:ptCount val="100"/>
                <c:pt idx="0">
                  <c:v>272</c:v>
                </c:pt>
                <c:pt idx="1">
                  <c:v>275</c:v>
                </c:pt>
                <c:pt idx="2">
                  <c:v>242</c:v>
                </c:pt>
                <c:pt idx="3">
                  <c:v>229</c:v>
                </c:pt>
                <c:pt idx="4">
                  <c:v>400</c:v>
                </c:pt>
                <c:pt idx="5">
                  <c:v>308</c:v>
                </c:pt>
                <c:pt idx="6">
                  <c:v>346</c:v>
                </c:pt>
                <c:pt idx="7">
                  <c:v>259</c:v>
                </c:pt>
                <c:pt idx="8">
                  <c:v>310</c:v>
                </c:pt>
                <c:pt idx="9">
                  <c:v>437.5</c:v>
                </c:pt>
                <c:pt idx="10">
                  <c:v>495.5</c:v>
                </c:pt>
                <c:pt idx="11">
                  <c:v>504</c:v>
                </c:pt>
                <c:pt idx="12">
                  <c:v>423.5</c:v>
                </c:pt>
                <c:pt idx="13">
                  <c:v>250</c:v>
                </c:pt>
                <c:pt idx="14">
                  <c:v>198.3</c:v>
                </c:pt>
                <c:pt idx="15">
                  <c:v>410</c:v>
                </c:pt>
                <c:pt idx="16">
                  <c:v>299</c:v>
                </c:pt>
                <c:pt idx="17">
                  <c:v>280</c:v>
                </c:pt>
                <c:pt idx="18">
                  <c:v>314</c:v>
                </c:pt>
                <c:pt idx="19">
                  <c:v>312</c:v>
                </c:pt>
                <c:pt idx="20">
                  <c:v>287</c:v>
                </c:pt>
                <c:pt idx="21">
                  <c:v>277</c:v>
                </c:pt>
                <c:pt idx="22">
                  <c:v>315</c:v>
                </c:pt>
                <c:pt idx="23">
                  <c:v>289</c:v>
                </c:pt>
                <c:pt idx="24">
                  <c:v>344.6</c:v>
                </c:pt>
                <c:pt idx="25">
                  <c:v>333.5</c:v>
                </c:pt>
                <c:pt idx="26">
                  <c:v>479.5</c:v>
                </c:pt>
                <c:pt idx="27">
                  <c:v>440</c:v>
                </c:pt>
                <c:pt idx="28">
                  <c:v>549.5</c:v>
                </c:pt>
                <c:pt idx="29">
                  <c:v>479.5</c:v>
                </c:pt>
                <c:pt idx="30">
                  <c:v>393</c:v>
                </c:pt>
                <c:pt idx="31">
                  <c:v>299</c:v>
                </c:pt>
                <c:pt idx="32">
                  <c:v>295</c:v>
                </c:pt>
                <c:pt idx="33">
                  <c:v>295</c:v>
                </c:pt>
                <c:pt idx="34">
                  <c:v>295</c:v>
                </c:pt>
                <c:pt idx="35">
                  <c:v>295</c:v>
                </c:pt>
                <c:pt idx="36">
                  <c:v>295</c:v>
                </c:pt>
                <c:pt idx="37">
                  <c:v>295</c:v>
                </c:pt>
                <c:pt idx="38">
                  <c:v>295</c:v>
                </c:pt>
                <c:pt idx="39">
                  <c:v>295</c:v>
                </c:pt>
                <c:pt idx="40">
                  <c:v>295</c:v>
                </c:pt>
                <c:pt idx="41">
                  <c:v>295</c:v>
                </c:pt>
                <c:pt idx="42">
                  <c:v>295</c:v>
                </c:pt>
                <c:pt idx="43">
                  <c:v>295</c:v>
                </c:pt>
                <c:pt idx="44">
                  <c:v>295</c:v>
                </c:pt>
                <c:pt idx="45">
                  <c:v>295</c:v>
                </c:pt>
                <c:pt idx="46">
                  <c:v>295</c:v>
                </c:pt>
                <c:pt idx="47">
                  <c:v>295</c:v>
                </c:pt>
                <c:pt idx="48">
                  <c:v>295</c:v>
                </c:pt>
                <c:pt idx="49">
                  <c:v>295</c:v>
                </c:pt>
                <c:pt idx="50">
                  <c:v>295</c:v>
                </c:pt>
                <c:pt idx="51">
                  <c:v>295</c:v>
                </c:pt>
                <c:pt idx="52">
                  <c:v>295</c:v>
                </c:pt>
                <c:pt idx="53">
                  <c:v>295</c:v>
                </c:pt>
                <c:pt idx="54">
                  <c:v>295</c:v>
                </c:pt>
                <c:pt idx="55">
                  <c:v>295</c:v>
                </c:pt>
                <c:pt idx="56">
                  <c:v>295</c:v>
                </c:pt>
                <c:pt idx="57">
                  <c:v>295</c:v>
                </c:pt>
                <c:pt idx="58">
                  <c:v>295</c:v>
                </c:pt>
                <c:pt idx="59">
                  <c:v>295</c:v>
                </c:pt>
                <c:pt idx="60">
                  <c:v>295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295</c:v>
                </c:pt>
                <c:pt idx="69">
                  <c:v>295</c:v>
                </c:pt>
                <c:pt idx="70">
                  <c:v>295</c:v>
                </c:pt>
                <c:pt idx="71">
                  <c:v>295</c:v>
                </c:pt>
                <c:pt idx="72">
                  <c:v>295</c:v>
                </c:pt>
                <c:pt idx="73">
                  <c:v>295</c:v>
                </c:pt>
                <c:pt idx="74">
                  <c:v>295</c:v>
                </c:pt>
                <c:pt idx="75">
                  <c:v>295</c:v>
                </c:pt>
                <c:pt idx="76">
                  <c:v>295</c:v>
                </c:pt>
                <c:pt idx="77">
                  <c:v>295</c:v>
                </c:pt>
                <c:pt idx="78">
                  <c:v>295</c:v>
                </c:pt>
                <c:pt idx="79">
                  <c:v>295</c:v>
                </c:pt>
                <c:pt idx="80">
                  <c:v>295</c:v>
                </c:pt>
                <c:pt idx="81">
                  <c:v>295</c:v>
                </c:pt>
                <c:pt idx="82">
                  <c:v>295</c:v>
                </c:pt>
                <c:pt idx="83">
                  <c:v>295</c:v>
                </c:pt>
                <c:pt idx="84">
                  <c:v>295</c:v>
                </c:pt>
                <c:pt idx="85">
                  <c:v>295</c:v>
                </c:pt>
                <c:pt idx="86">
                  <c:v>295</c:v>
                </c:pt>
                <c:pt idx="87">
                  <c:v>295</c:v>
                </c:pt>
                <c:pt idx="88">
                  <c:v>295</c:v>
                </c:pt>
                <c:pt idx="89">
                  <c:v>295</c:v>
                </c:pt>
                <c:pt idx="90">
                  <c:v>295</c:v>
                </c:pt>
                <c:pt idx="91">
                  <c:v>295</c:v>
                </c:pt>
                <c:pt idx="92">
                  <c:v>295</c:v>
                </c:pt>
                <c:pt idx="93">
                  <c:v>295</c:v>
                </c:pt>
                <c:pt idx="94">
                  <c:v>295</c:v>
                </c:pt>
                <c:pt idx="95">
                  <c:v>295</c:v>
                </c:pt>
                <c:pt idx="96">
                  <c:v>295</c:v>
                </c:pt>
                <c:pt idx="97">
                  <c:v>295</c:v>
                </c:pt>
                <c:pt idx="98">
                  <c:v>295</c:v>
                </c:pt>
                <c:pt idx="99">
                  <c:v>295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"Integrated GPU"</c:f>
              <c:strCache>
                <c:ptCount val="1"/>
                <c:pt idx="0">
                  <c:v>Integrated GPU</c:v>
                </c:pt>
              </c:strCache>
            </c:strRef>
          </c:tx>
          <c:spPr>
            <a:solidFill>
              <a:srgbClr val="2a9d8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2a9d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Analysis!$D$112:$D$211</c:f>
              <c:numCache>
                <c:formatCode>0.00</c:formatCode>
                <c:ptCount val="100"/>
                <c:pt idx="0">
                  <c:v>1.6</c:v>
                </c:pt>
                <c:pt idx="1">
                  <c:v>1.3</c:v>
                </c:pt>
                <c:pt idx="2">
                  <c:v>1.55</c:v>
                </c:pt>
                <c:pt idx="3">
                  <c:v>1.7</c:v>
                </c:pt>
                <c:pt idx="4">
                  <c:v>1.6</c:v>
                </c:pt>
                <c:pt idx="5">
                  <c:v>1.7</c:v>
                </c:pt>
                <c:pt idx="6">
                  <c:v>1.7</c:v>
                </c:pt>
                <c:pt idx="7">
                  <c:v>1.6</c:v>
                </c:pt>
                <c:pt idx="8">
                  <c:v>1.7</c:v>
                </c:pt>
                <c:pt idx="9">
                  <c:v>1.23</c:v>
                </c:pt>
                <c:pt idx="10">
                  <c:v>1.23</c:v>
                </c:pt>
                <c:pt idx="11">
                  <c:v>1.7</c:v>
                </c:pt>
                <c:pt idx="12">
                  <c:v>1.79</c:v>
                </c:pt>
                <c:pt idx="13">
                  <c:v>1.66</c:v>
                </c:pt>
                <c:pt idx="14">
                  <c:v>1.6</c:v>
                </c:pt>
                <c:pt idx="15">
                  <c:v>1.7</c:v>
                </c:pt>
                <c:pt idx="16">
                  <c:v>1.6</c:v>
                </c:pt>
                <c:pt idx="17">
                  <c:v>1.6</c:v>
                </c:pt>
                <c:pt idx="18">
                  <c:v>1.7</c:v>
                </c:pt>
                <c:pt idx="19">
                  <c:v>1.63</c:v>
                </c:pt>
                <c:pt idx="20">
                  <c:v>1.77</c:v>
                </c:pt>
                <c:pt idx="21">
                  <c:v>1.3</c:v>
                </c:pt>
                <c:pt idx="22">
                  <c:v>1.3</c:v>
                </c:pt>
                <c:pt idx="23">
                  <c:v>1.7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  <c:pt idx="28">
                  <c:v>1.55</c:v>
                </c:pt>
                <c:pt idx="29">
                  <c:v>1.55</c:v>
                </c:pt>
                <c:pt idx="30">
                  <c:v>1.55</c:v>
                </c:pt>
                <c:pt idx="31">
                  <c:v>1.7</c:v>
                </c:pt>
                <c:pt idx="32">
                  <c:v>1.7</c:v>
                </c:pt>
                <c:pt idx="33">
                  <c:v>1.63</c:v>
                </c:pt>
                <c:pt idx="34">
                  <c:v>1.24</c:v>
                </c:pt>
                <c:pt idx="35">
                  <c:v>1.24</c:v>
                </c:pt>
                <c:pt idx="36">
                  <c:v>1.65</c:v>
                </c:pt>
                <c:pt idx="37">
                  <c:v>1.55</c:v>
                </c:pt>
                <c:pt idx="38">
                  <c:v>1.63</c:v>
                </c:pt>
                <c:pt idx="39">
                  <c:v>1.6</c:v>
                </c:pt>
                <c:pt idx="40">
                  <c:v>1.6</c:v>
                </c:pt>
                <c:pt idx="41">
                  <c:v>1.7</c:v>
                </c:pt>
                <c:pt idx="42">
                  <c:v>1.7</c:v>
                </c:pt>
                <c:pt idx="43">
                  <c:v>1.6</c:v>
                </c:pt>
                <c:pt idx="44">
                  <c:v>1.59</c:v>
                </c:pt>
                <c:pt idx="45">
                  <c:v>1.8</c:v>
                </c:pt>
                <c:pt idx="46">
                  <c:v>1.63</c:v>
                </c:pt>
                <c:pt idx="47">
                  <c:v>1.63</c:v>
                </c:pt>
                <c:pt idx="48">
                  <c:v>1.39</c:v>
                </c:pt>
                <c:pt idx="49">
                  <c:v>1.7</c:v>
                </c:pt>
                <c:pt idx="50">
                  <c:v>1.9</c:v>
                </c:pt>
                <c:pt idx="51">
                  <c:v>1.7</c:v>
                </c:pt>
                <c:pt idx="52">
                  <c:v>1.7</c:v>
                </c:pt>
                <c:pt idx="53">
                  <c:v>1.63</c:v>
                </c:pt>
                <c:pt idx="54">
                  <c:v>1.6</c:v>
                </c:pt>
                <c:pt idx="55">
                  <c:v>1.63</c:v>
                </c:pt>
                <c:pt idx="56">
                  <c:v>1.9</c:v>
                </c:pt>
                <c:pt idx="57">
                  <c:v>1.65</c:v>
                </c:pt>
                <c:pt idx="58">
                  <c:v>1.28</c:v>
                </c:pt>
                <c:pt idx="59">
                  <c:v>1.63</c:v>
                </c:pt>
                <c:pt idx="60">
                  <c:v>1.63</c:v>
                </c:pt>
                <c:pt idx="61">
                  <c:v>1.63</c:v>
                </c:pt>
                <c:pt idx="62">
                  <c:v>1.63</c:v>
                </c:pt>
                <c:pt idx="63">
                  <c:v>1.63</c:v>
                </c:pt>
                <c:pt idx="64">
                  <c:v>1.63</c:v>
                </c:pt>
                <c:pt idx="65">
                  <c:v>1.63</c:v>
                </c:pt>
                <c:pt idx="66">
                  <c:v>1.63</c:v>
                </c:pt>
                <c:pt idx="67">
                  <c:v>1.63</c:v>
                </c:pt>
                <c:pt idx="68">
                  <c:v>1.63</c:v>
                </c:pt>
                <c:pt idx="69">
                  <c:v>1.63</c:v>
                </c:pt>
                <c:pt idx="70">
                  <c:v>1.63</c:v>
                </c:pt>
                <c:pt idx="71">
                  <c:v>1.63</c:v>
                </c:pt>
                <c:pt idx="72">
                  <c:v>1.63</c:v>
                </c:pt>
                <c:pt idx="73">
                  <c:v>1.63</c:v>
                </c:pt>
                <c:pt idx="74">
                  <c:v>1.63</c:v>
                </c:pt>
                <c:pt idx="75">
                  <c:v>1.63</c:v>
                </c:pt>
                <c:pt idx="76">
                  <c:v>1.63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1.63</c:v>
                </c:pt>
                <c:pt idx="81">
                  <c:v>1.63</c:v>
                </c:pt>
                <c:pt idx="82">
                  <c:v>1.63</c:v>
                </c:pt>
                <c:pt idx="83">
                  <c:v>1.63</c:v>
                </c:pt>
                <c:pt idx="84">
                  <c:v>1.63</c:v>
                </c:pt>
                <c:pt idx="85">
                  <c:v>1.63</c:v>
                </c:pt>
                <c:pt idx="86">
                  <c:v>1.63</c:v>
                </c:pt>
                <c:pt idx="87">
                  <c:v>1.63</c:v>
                </c:pt>
                <c:pt idx="88">
                  <c:v>1.63</c:v>
                </c:pt>
                <c:pt idx="89">
                  <c:v>1.63</c:v>
                </c:pt>
                <c:pt idx="90">
                  <c:v>1.63</c:v>
                </c:pt>
                <c:pt idx="91">
                  <c:v>1.63</c:v>
                </c:pt>
                <c:pt idx="92">
                  <c:v>1.63</c:v>
                </c:pt>
                <c:pt idx="93">
                  <c:v>1.63</c:v>
                </c:pt>
                <c:pt idx="94">
                  <c:v>1.63</c:v>
                </c:pt>
                <c:pt idx="95">
                  <c:v>1.63</c:v>
                </c:pt>
                <c:pt idx="96">
                  <c:v>1.63</c:v>
                </c:pt>
                <c:pt idx="97">
                  <c:v>1.63</c:v>
                </c:pt>
                <c:pt idx="98">
                  <c:v>1.63</c:v>
                </c:pt>
                <c:pt idx="99">
                  <c:v>1.63</c:v>
                </c:pt>
              </c:numCache>
            </c:numRef>
          </c:xVal>
          <c:yVal>
            <c:numRef>
              <c:f>Analysis!$E$112:$E$211</c:f>
              <c:numCache>
                <c:formatCode>#,##0.0</c:formatCode>
                <c:ptCount val="100"/>
                <c:pt idx="0">
                  <c:v>125.499</c:v>
                </c:pt>
                <c:pt idx="1">
                  <c:v>65.5</c:v>
                </c:pt>
                <c:pt idx="2">
                  <c:v>94.5</c:v>
                </c:pt>
                <c:pt idx="3">
                  <c:v>196.6</c:v>
                </c:pt>
                <c:pt idx="4">
                  <c:v>178</c:v>
                </c:pt>
                <c:pt idx="5">
                  <c:v>199.3</c:v>
                </c:pt>
                <c:pt idx="6">
                  <c:v>225.5</c:v>
                </c:pt>
                <c:pt idx="7">
                  <c:v>117.999</c:v>
                </c:pt>
                <c:pt idx="8">
                  <c:v>181</c:v>
                </c:pt>
                <c:pt idx="9">
                  <c:v>245.73</c:v>
                </c:pt>
                <c:pt idx="10">
                  <c:v>217.47</c:v>
                </c:pt>
                <c:pt idx="11">
                  <c:v>149.5</c:v>
                </c:pt>
                <c:pt idx="12">
                  <c:v>215</c:v>
                </c:pt>
                <c:pt idx="13">
                  <c:v>165</c:v>
                </c:pt>
                <c:pt idx="14">
                  <c:v>126</c:v>
                </c:pt>
                <c:pt idx="15">
                  <c:v>182</c:v>
                </c:pt>
                <c:pt idx="16">
                  <c:v>142</c:v>
                </c:pt>
                <c:pt idx="17">
                  <c:v>155</c:v>
                </c:pt>
                <c:pt idx="18">
                  <c:v>199.9</c:v>
                </c:pt>
                <c:pt idx="19">
                  <c:v>195.6</c:v>
                </c:pt>
                <c:pt idx="20">
                  <c:v>149</c:v>
                </c:pt>
                <c:pt idx="21">
                  <c:v>69.6</c:v>
                </c:pt>
                <c:pt idx="22">
                  <c:v>69.5</c:v>
                </c:pt>
                <c:pt idx="23">
                  <c:v>92.5</c:v>
                </c:pt>
                <c:pt idx="24">
                  <c:v>228.5</c:v>
                </c:pt>
                <c:pt idx="25">
                  <c:v>156.2</c:v>
                </c:pt>
                <c:pt idx="26">
                  <c:v>159.5</c:v>
                </c:pt>
                <c:pt idx="27">
                  <c:v>137.5</c:v>
                </c:pt>
                <c:pt idx="28">
                  <c:v>117</c:v>
                </c:pt>
                <c:pt idx="29">
                  <c:v>121</c:v>
                </c:pt>
                <c:pt idx="30">
                  <c:v>107.9</c:v>
                </c:pt>
                <c:pt idx="31">
                  <c:v>168.2</c:v>
                </c:pt>
                <c:pt idx="32">
                  <c:v>210.3</c:v>
                </c:pt>
                <c:pt idx="33">
                  <c:v>119</c:v>
                </c:pt>
                <c:pt idx="34">
                  <c:v>459.89</c:v>
                </c:pt>
                <c:pt idx="35">
                  <c:v>380.3</c:v>
                </c:pt>
                <c:pt idx="36">
                  <c:v>215.5</c:v>
                </c:pt>
                <c:pt idx="37">
                  <c:v>102.8</c:v>
                </c:pt>
                <c:pt idx="38">
                  <c:v>125.8</c:v>
                </c:pt>
                <c:pt idx="39">
                  <c:v>185</c:v>
                </c:pt>
                <c:pt idx="40">
                  <c:v>145.8</c:v>
                </c:pt>
                <c:pt idx="41">
                  <c:v>144</c:v>
                </c:pt>
                <c:pt idx="42">
                  <c:v>187.5</c:v>
                </c:pt>
                <c:pt idx="43">
                  <c:v>129.9</c:v>
                </c:pt>
                <c:pt idx="44">
                  <c:v>127</c:v>
                </c:pt>
                <c:pt idx="45">
                  <c:v>249</c:v>
                </c:pt>
                <c:pt idx="46">
                  <c:v>155.8</c:v>
                </c:pt>
                <c:pt idx="47">
                  <c:v>147.2</c:v>
                </c:pt>
                <c:pt idx="48">
                  <c:v>275</c:v>
                </c:pt>
                <c:pt idx="49">
                  <c:v>222</c:v>
                </c:pt>
                <c:pt idx="50">
                  <c:v>162.2</c:v>
                </c:pt>
                <c:pt idx="51">
                  <c:v>215.5</c:v>
                </c:pt>
                <c:pt idx="52">
                  <c:v>187</c:v>
                </c:pt>
                <c:pt idx="53">
                  <c:v>223</c:v>
                </c:pt>
                <c:pt idx="54">
                  <c:v>204.8</c:v>
                </c:pt>
                <c:pt idx="55">
                  <c:v>324.2</c:v>
                </c:pt>
                <c:pt idx="56">
                  <c:v>272.5</c:v>
                </c:pt>
                <c:pt idx="57">
                  <c:v>165</c:v>
                </c:pt>
                <c:pt idx="58">
                  <c:v>469</c:v>
                </c:pt>
                <c:pt idx="59">
                  <c:v>255.7</c:v>
                </c:pt>
                <c:pt idx="60">
                  <c:v>255.7</c:v>
                </c:pt>
                <c:pt idx="61">
                  <c:v>255.7</c:v>
                </c:pt>
                <c:pt idx="62">
                  <c:v>255.7</c:v>
                </c:pt>
                <c:pt idx="63">
                  <c:v>255.7</c:v>
                </c:pt>
                <c:pt idx="64">
                  <c:v>255.7</c:v>
                </c:pt>
                <c:pt idx="65">
                  <c:v>255.7</c:v>
                </c:pt>
                <c:pt idx="66">
                  <c:v>255.7</c:v>
                </c:pt>
                <c:pt idx="67">
                  <c:v>255.7</c:v>
                </c:pt>
                <c:pt idx="68">
                  <c:v>255.7</c:v>
                </c:pt>
                <c:pt idx="69">
                  <c:v>255.7</c:v>
                </c:pt>
                <c:pt idx="70">
                  <c:v>255.7</c:v>
                </c:pt>
                <c:pt idx="71">
                  <c:v>255.7</c:v>
                </c:pt>
                <c:pt idx="72">
                  <c:v>255.7</c:v>
                </c:pt>
                <c:pt idx="73">
                  <c:v>255.7</c:v>
                </c:pt>
                <c:pt idx="74">
                  <c:v>255.7</c:v>
                </c:pt>
                <c:pt idx="75">
                  <c:v>255.7</c:v>
                </c:pt>
                <c:pt idx="76">
                  <c:v>255.7</c:v>
                </c:pt>
                <c:pt idx="77">
                  <c:v>255.7</c:v>
                </c:pt>
                <c:pt idx="78">
                  <c:v>255.7</c:v>
                </c:pt>
                <c:pt idx="79">
                  <c:v>255.7</c:v>
                </c:pt>
                <c:pt idx="80">
                  <c:v>255.7</c:v>
                </c:pt>
                <c:pt idx="81">
                  <c:v>255.7</c:v>
                </c:pt>
                <c:pt idx="82">
                  <c:v>255.7</c:v>
                </c:pt>
                <c:pt idx="83">
                  <c:v>255.7</c:v>
                </c:pt>
                <c:pt idx="84">
                  <c:v>255.7</c:v>
                </c:pt>
                <c:pt idx="85">
                  <c:v>255.7</c:v>
                </c:pt>
                <c:pt idx="86">
                  <c:v>255.7</c:v>
                </c:pt>
                <c:pt idx="87">
                  <c:v>255.7</c:v>
                </c:pt>
                <c:pt idx="88">
                  <c:v>255.7</c:v>
                </c:pt>
                <c:pt idx="89">
                  <c:v>255.7</c:v>
                </c:pt>
                <c:pt idx="90">
                  <c:v>255.7</c:v>
                </c:pt>
                <c:pt idx="91">
                  <c:v>255.7</c:v>
                </c:pt>
                <c:pt idx="92">
                  <c:v>255.7</c:v>
                </c:pt>
                <c:pt idx="93">
                  <c:v>255.7</c:v>
                </c:pt>
                <c:pt idx="94">
                  <c:v>255.7</c:v>
                </c:pt>
                <c:pt idx="95">
                  <c:v>255.7</c:v>
                </c:pt>
                <c:pt idx="96">
                  <c:v>255.7</c:v>
                </c:pt>
                <c:pt idx="97">
                  <c:v>255.7</c:v>
                </c:pt>
                <c:pt idx="98">
                  <c:v>255.7</c:v>
                </c:pt>
                <c:pt idx="99">
                  <c:v>255.7</c:v>
                </c:pt>
              </c:numCache>
            </c:numRef>
          </c:yVal>
          <c:smooth val="1"/>
        </c:ser>
        <c:axId val="62329021"/>
        <c:axId val="11297800"/>
      </c:scatterChart>
      <c:valAx>
        <c:axId val="62329021"/>
        <c:scaling>
          <c:orientation val="minMax"/>
        </c:scaling>
        <c:delete val="0"/>
        <c:axPos val="b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Weight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11297800"/>
        <c:crosses val="autoZero"/>
        <c:crossBetween val="midCat"/>
      </c:valAx>
      <c:valAx>
        <c:axId val="1129780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Price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623290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Review-weighted rating per brand (0–5 stars)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76f51"/>
            </a:solidFill>
            <a:ln w="0">
              <a:noFill/>
            </a:ln>
          </c:spPr>
          <c:invertIfNegative val="0"/>
          <c:dLbls>
            <c:numFmt formatCode="0.0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Analysis!$I$23:$I$30</c:f>
              <c:strCache>
                <c:ptCount val="8"/>
                <c:pt idx="0">
                  <c:v>ASUS</c:v>
                </c:pt>
                <c:pt idx="1">
                  <c:v>Lenovo</c:v>
                </c:pt>
                <c:pt idx="2">
                  <c:v>HP</c:v>
                </c:pt>
                <c:pt idx="3">
                  <c:v>MSI</c:v>
                </c:pt>
                <c:pt idx="4">
                  <c:v>Apple</c:v>
                </c:pt>
                <c:pt idx="5">
                  <c:v>Acer</c:v>
                </c:pt>
                <c:pt idx="6">
                  <c:v>Dell</c:v>
                </c:pt>
                <c:pt idx="7">
                  <c:v>Samsung</c:v>
                </c:pt>
              </c:strCache>
            </c:strRef>
          </c:cat>
          <c:val>
            <c:numRef>
              <c:f>Analysis!$L$23:$L$30</c:f>
              <c:numCache>
                <c:formatCode>0.00</c:formatCode>
                <c:ptCount val="8"/>
                <c:pt idx="0">
                  <c:v>4.26808988764045</c:v>
                </c:pt>
                <c:pt idx="1">
                  <c:v>3.99613636363636</c:v>
                </c:pt>
                <c:pt idx="2">
                  <c:v>4.33028571428571</c:v>
                </c:pt>
                <c:pt idx="3">
                  <c:v>4.65555555555556</c:v>
                </c:pt>
                <c:pt idx="4">
                  <c:v>4.59411764705882</c:v>
                </c:pt>
                <c:pt idx="5">
                  <c:v>5</c:v>
                </c:pt>
                <c:pt idx="6">
                  <c:v>4.5</c:v>
                </c:pt>
                <c:pt idx="7">
                  <c:v>0</c:v>
                </c:pt>
              </c:numCache>
            </c:numRef>
          </c:val>
        </c:ser>
        <c:gapWidth val="60"/>
        <c:overlap val="0"/>
        <c:axId val="28603138"/>
        <c:axId val="24386424"/>
      </c:barChart>
      <c:catAx>
        <c:axId val="2860313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24386424"/>
        <c:crosses val="autoZero"/>
        <c:auto val="1"/>
        <c:lblAlgn val="ctr"/>
        <c:lblOffset val="100"/>
        <c:noMultiLvlLbl val="0"/>
      </c:catAx>
      <c:valAx>
        <c:axId val="24386424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Rating (stars)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2860313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How many reviews do laptops have?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41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Analysis!$A$216:$A$220</c:f>
              <c:strCache>
                <c:ptCount val="5"/>
                <c:pt idx="0">
                  <c:v>1</c:v>
                </c:pt>
                <c:pt idx="1">
                  <c:v>2–5</c:v>
                </c:pt>
                <c:pt idx="2">
                  <c:v>6–20</c:v>
                </c:pt>
                <c:pt idx="3">
                  <c:v>21–50</c:v>
                </c:pt>
                <c:pt idx="4">
                  <c:v>51+</c:v>
                </c:pt>
              </c:strCache>
            </c:strRef>
          </c:cat>
          <c:val>
            <c:numRef>
              <c:f>Analysis!$D$216:$D$220</c:f>
              <c:numCache>
                <c:formatCode>General</c:formatCode>
                <c:ptCount val="5"/>
                <c:pt idx="0">
                  <c:v>47</c:v>
                </c:pt>
                <c:pt idx="1">
                  <c:v>12</c:v>
                </c:pt>
                <c:pt idx="2">
                  <c:v>13</c:v>
                </c:pt>
                <c:pt idx="3">
                  <c:v>26</c:v>
                </c:pt>
                <c:pt idx="4">
                  <c:v>1</c:v>
                </c:pt>
              </c:numCache>
            </c:numRef>
          </c:val>
        </c:ser>
        <c:gapWidth val="30"/>
        <c:overlap val="0"/>
        <c:axId val="55125993"/>
        <c:axId val="48763261"/>
      </c:barChart>
      <c:catAx>
        <c:axId val="55125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Reviews per laptop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48763261"/>
        <c:crosses val="autoZero"/>
        <c:auto val="1"/>
        <c:lblAlgn val="ctr"/>
        <c:lblOffset val="100"/>
        <c:noMultiLvlLbl val="0"/>
      </c:catAx>
      <c:valAx>
        <c:axId val="487632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Number of laptops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551259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a5f"/>
                </a:solidFill>
                <a:latin typeface="Arial"/>
              </a:defRPr>
            </a:pPr>
            <a:r>
              <a:rPr b="1" sz="1100" spc="-1" strike="noStrike">
                <a:solidFill>
                  <a:srgbClr val="1f3a5f"/>
                </a:solidFill>
                <a:latin typeface="Arial"/>
              </a:rPr>
              <a:t>Rating vs price (each dot = one laptop)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"Laptops"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rgbClr val="1f3a5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1f3a5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Analysis!$F$112:$F$211</c:f>
              <c:numCache>
                <c:formatCode>#,##0.0</c:formatCode>
                <c:ptCount val="100"/>
                <c:pt idx="0">
                  <c:v>125.499</c:v>
                </c:pt>
                <c:pt idx="1">
                  <c:v>272</c:v>
                </c:pt>
                <c:pt idx="2">
                  <c:v>185</c:v>
                </c:pt>
                <c:pt idx="3">
                  <c:v>65.5</c:v>
                </c:pt>
                <c:pt idx="4">
                  <c:v>275</c:v>
                </c:pt>
                <c:pt idx="5">
                  <c:v>242</c:v>
                </c:pt>
                <c:pt idx="6">
                  <c:v>220.2</c:v>
                </c:pt>
                <c:pt idx="7">
                  <c:v>94.5</c:v>
                </c:pt>
                <c:pt idx="8">
                  <c:v>196.6</c:v>
                </c:pt>
                <c:pt idx="9">
                  <c:v>178</c:v>
                </c:pt>
                <c:pt idx="10">
                  <c:v>199.3</c:v>
                </c:pt>
                <c:pt idx="11">
                  <c:v>225.5</c:v>
                </c:pt>
                <c:pt idx="12">
                  <c:v>117.999</c:v>
                </c:pt>
                <c:pt idx="13">
                  <c:v>181</c:v>
                </c:pt>
                <c:pt idx="14">
                  <c:v>245.73</c:v>
                </c:pt>
                <c:pt idx="15">
                  <c:v>217.47</c:v>
                </c:pt>
                <c:pt idx="16">
                  <c:v>149.5</c:v>
                </c:pt>
                <c:pt idx="17">
                  <c:v>215</c:v>
                </c:pt>
                <c:pt idx="18">
                  <c:v>165</c:v>
                </c:pt>
                <c:pt idx="19">
                  <c:v>229</c:v>
                </c:pt>
                <c:pt idx="20">
                  <c:v>126</c:v>
                </c:pt>
                <c:pt idx="21">
                  <c:v>182</c:v>
                </c:pt>
                <c:pt idx="22">
                  <c:v>142</c:v>
                </c:pt>
                <c:pt idx="23">
                  <c:v>400</c:v>
                </c:pt>
                <c:pt idx="24">
                  <c:v>234</c:v>
                </c:pt>
                <c:pt idx="25">
                  <c:v>155</c:v>
                </c:pt>
                <c:pt idx="26">
                  <c:v>308</c:v>
                </c:pt>
                <c:pt idx="27">
                  <c:v>199.9</c:v>
                </c:pt>
                <c:pt idx="28">
                  <c:v>346</c:v>
                </c:pt>
                <c:pt idx="29">
                  <c:v>195.6</c:v>
                </c:pt>
                <c:pt idx="30">
                  <c:v>149</c:v>
                </c:pt>
                <c:pt idx="31">
                  <c:v>259</c:v>
                </c:pt>
                <c:pt idx="32">
                  <c:v>69.6</c:v>
                </c:pt>
                <c:pt idx="33">
                  <c:v>69.5</c:v>
                </c:pt>
                <c:pt idx="34">
                  <c:v>92.5</c:v>
                </c:pt>
                <c:pt idx="35">
                  <c:v>228.5</c:v>
                </c:pt>
                <c:pt idx="36">
                  <c:v>156.2</c:v>
                </c:pt>
                <c:pt idx="37">
                  <c:v>310</c:v>
                </c:pt>
                <c:pt idx="38">
                  <c:v>159.5</c:v>
                </c:pt>
                <c:pt idx="39">
                  <c:v>437.5</c:v>
                </c:pt>
                <c:pt idx="40">
                  <c:v>495.5</c:v>
                </c:pt>
                <c:pt idx="41">
                  <c:v>224</c:v>
                </c:pt>
                <c:pt idx="42">
                  <c:v>137.5</c:v>
                </c:pt>
                <c:pt idx="43">
                  <c:v>160</c:v>
                </c:pt>
                <c:pt idx="44">
                  <c:v>504</c:v>
                </c:pt>
                <c:pt idx="45">
                  <c:v>423.5</c:v>
                </c:pt>
                <c:pt idx="46">
                  <c:v>250</c:v>
                </c:pt>
                <c:pt idx="47">
                  <c:v>117</c:v>
                </c:pt>
                <c:pt idx="48">
                  <c:v>121</c:v>
                </c:pt>
                <c:pt idx="49">
                  <c:v>107.9</c:v>
                </c:pt>
                <c:pt idx="50">
                  <c:v>168.2</c:v>
                </c:pt>
                <c:pt idx="51">
                  <c:v>210.3</c:v>
                </c:pt>
                <c:pt idx="52">
                  <c:v>119</c:v>
                </c:pt>
                <c:pt idx="53">
                  <c:v>198.3</c:v>
                </c:pt>
                <c:pt idx="54">
                  <c:v>410</c:v>
                </c:pt>
                <c:pt idx="55">
                  <c:v>299</c:v>
                </c:pt>
                <c:pt idx="56">
                  <c:v>459.89</c:v>
                </c:pt>
                <c:pt idx="57">
                  <c:v>380.3</c:v>
                </c:pt>
                <c:pt idx="58">
                  <c:v>280</c:v>
                </c:pt>
                <c:pt idx="59">
                  <c:v>314</c:v>
                </c:pt>
                <c:pt idx="60">
                  <c:v>215.5</c:v>
                </c:pt>
                <c:pt idx="61">
                  <c:v>156</c:v>
                </c:pt>
                <c:pt idx="62">
                  <c:v>312</c:v>
                </c:pt>
                <c:pt idx="63">
                  <c:v>102.8</c:v>
                </c:pt>
                <c:pt idx="64">
                  <c:v>125.8</c:v>
                </c:pt>
                <c:pt idx="65">
                  <c:v>185</c:v>
                </c:pt>
                <c:pt idx="66">
                  <c:v>145.8</c:v>
                </c:pt>
                <c:pt idx="67">
                  <c:v>287</c:v>
                </c:pt>
                <c:pt idx="68">
                  <c:v>144</c:v>
                </c:pt>
                <c:pt idx="69">
                  <c:v>187.5</c:v>
                </c:pt>
                <c:pt idx="70">
                  <c:v>129.9</c:v>
                </c:pt>
                <c:pt idx="71">
                  <c:v>277</c:v>
                </c:pt>
                <c:pt idx="72">
                  <c:v>127</c:v>
                </c:pt>
                <c:pt idx="73">
                  <c:v>249</c:v>
                </c:pt>
                <c:pt idx="74">
                  <c:v>155.8</c:v>
                </c:pt>
                <c:pt idx="75">
                  <c:v>147.2</c:v>
                </c:pt>
                <c:pt idx="76">
                  <c:v>275</c:v>
                </c:pt>
                <c:pt idx="77">
                  <c:v>315</c:v>
                </c:pt>
                <c:pt idx="78">
                  <c:v>222</c:v>
                </c:pt>
                <c:pt idx="79">
                  <c:v>289</c:v>
                </c:pt>
                <c:pt idx="80">
                  <c:v>162.2</c:v>
                </c:pt>
                <c:pt idx="81">
                  <c:v>215.5</c:v>
                </c:pt>
                <c:pt idx="82">
                  <c:v>187</c:v>
                </c:pt>
                <c:pt idx="83">
                  <c:v>344.6</c:v>
                </c:pt>
                <c:pt idx="84">
                  <c:v>223</c:v>
                </c:pt>
                <c:pt idx="85">
                  <c:v>333.5</c:v>
                </c:pt>
                <c:pt idx="86">
                  <c:v>204.8</c:v>
                </c:pt>
                <c:pt idx="87">
                  <c:v>479.5</c:v>
                </c:pt>
                <c:pt idx="88">
                  <c:v>440</c:v>
                </c:pt>
                <c:pt idx="89">
                  <c:v>324.2</c:v>
                </c:pt>
                <c:pt idx="90">
                  <c:v>272.5</c:v>
                </c:pt>
                <c:pt idx="91">
                  <c:v>549.5</c:v>
                </c:pt>
                <c:pt idx="92">
                  <c:v>479.5</c:v>
                </c:pt>
                <c:pt idx="93">
                  <c:v>393</c:v>
                </c:pt>
                <c:pt idx="94">
                  <c:v>299</c:v>
                </c:pt>
                <c:pt idx="95">
                  <c:v>165</c:v>
                </c:pt>
                <c:pt idx="96">
                  <c:v>469</c:v>
                </c:pt>
                <c:pt idx="97">
                  <c:v>295</c:v>
                </c:pt>
                <c:pt idx="98">
                  <c:v>255.7</c:v>
                </c:pt>
                <c:pt idx="99">
                  <c:v>255.7</c:v>
                </c:pt>
              </c:numCache>
            </c:numRef>
          </c:xVal>
          <c:yVal>
            <c:numRef>
              <c:f>Analysis!$G$112:$G$211</c:f>
              <c:numCache>
                <c:formatCode>0.0</c:formatCode>
                <c:ptCount val="100"/>
                <c:pt idx="0">
                  <c:v>4.2</c:v>
                </c:pt>
                <c:pt idx="1">
                  <c:v>5</c:v>
                </c:pt>
                <c:pt idx="2">
                  <c:v>3.8</c:v>
                </c:pt>
                <c:pt idx="3">
                  <c:v>4</c:v>
                </c:pt>
                <c:pt idx="4">
                  <c:v>4.2</c:v>
                </c:pt>
                <c:pt idx="5">
                  <c:v>4.4</c:v>
                </c:pt>
                <c:pt idx="6">
                  <c:v>3.2</c:v>
                </c:pt>
                <c:pt idx="7">
                  <c:v>4.7</c:v>
                </c:pt>
                <c:pt idx="8">
                  <c:v>5</c:v>
                </c:pt>
                <c:pt idx="9">
                  <c:v>4.1</c:v>
                </c:pt>
                <c:pt idx="10">
                  <c:v>4.1</c:v>
                </c:pt>
                <c:pt idx="11">
                  <c:v>5</c:v>
                </c:pt>
                <c:pt idx="12">
                  <c:v>3.7</c:v>
                </c:pt>
                <c:pt idx="13">
                  <c:v>5</c:v>
                </c:pt>
                <c:pt idx="14">
                  <c:v>4.5</c:v>
                </c:pt>
                <c:pt idx="15">
                  <c:v>4.7</c:v>
                </c:pt>
                <c:pt idx="16">
                  <c:v>4.1</c:v>
                </c:pt>
                <c:pt idx="17">
                  <c:v>5</c:v>
                </c:pt>
                <c:pt idx="18">
                  <c:v>5</c:v>
                </c:pt>
                <c:pt idx="19">
                  <c:v>4.3</c:v>
                </c:pt>
                <c:pt idx="20">
                  <c:v>4.3</c:v>
                </c:pt>
                <c:pt idx="21">
                  <c:v>3</c:v>
                </c:pt>
                <c:pt idx="22">
                  <c:v>5</c:v>
                </c:pt>
                <c:pt idx="23">
                  <c:v>4.5</c:v>
                </c:pt>
                <c:pt idx="24">
                  <c:v>4.1</c:v>
                </c:pt>
                <c:pt idx="25">
                  <c:v>3.8</c:v>
                </c:pt>
                <c:pt idx="26">
                  <c:v>4.3</c:v>
                </c:pt>
                <c:pt idx="27">
                  <c:v>5</c:v>
                </c:pt>
                <c:pt idx="28">
                  <c:v>4.6</c:v>
                </c:pt>
                <c:pt idx="29">
                  <c:v>5</c:v>
                </c:pt>
                <c:pt idx="30">
                  <c:v>5</c:v>
                </c:pt>
                <c:pt idx="31">
                  <c:v>4.5</c:v>
                </c:pt>
                <c:pt idx="32">
                  <c:v>4.1</c:v>
                </c:pt>
                <c:pt idx="33">
                  <c:v>3.8</c:v>
                </c:pt>
                <c:pt idx="34">
                  <c:v>3.4</c:v>
                </c:pt>
                <c:pt idx="35">
                  <c:v>4.3</c:v>
                </c:pt>
                <c:pt idx="36">
                  <c:v>5</c:v>
                </c:pt>
                <c:pt idx="37">
                  <c:v>5</c:v>
                </c:pt>
                <c:pt idx="38">
                  <c:v>3</c:v>
                </c:pt>
                <c:pt idx="39">
                  <c:v>5</c:v>
                </c:pt>
                <c:pt idx="40">
                  <c:v>4.6</c:v>
                </c:pt>
                <c:pt idx="41">
                  <c:v>4.1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4.2</c:v>
                </c:pt>
                <c:pt idx="47">
                  <c:v>4</c:v>
                </c:pt>
                <c:pt idx="48">
                  <c:v>3.8</c:v>
                </c:pt>
                <c:pt idx="49">
                  <c:v>3.8</c:v>
                </c:pt>
                <c:pt idx="50">
                  <c:v>1</c:v>
                </c:pt>
                <c:pt idx="51">
                  <c:v>4.6</c:v>
                </c:pt>
                <c:pt idx="52">
                  <c:v>5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3</c:v>
                </c:pt>
                <c:pt idx="57">
                  <c:v>5</c:v>
                </c:pt>
                <c:pt idx="58">
                  <c:v>4.3</c:v>
                </c:pt>
                <c:pt idx="59">
                  <c:v>5</c:v>
                </c:pt>
                <c:pt idx="60">
                  <c:v>4.4</c:v>
                </c:pt>
                <c:pt idx="61">
                  <c:v>4</c:v>
                </c:pt>
                <c:pt idx="62">
                  <c:v>4.6</c:v>
                </c:pt>
                <c:pt idx="63">
                  <c:v>3.6</c:v>
                </c:pt>
                <c:pt idx="64">
                  <c:v>5</c:v>
                </c:pt>
                <c:pt idx="65">
                  <c:v>4.3</c:v>
                </c:pt>
                <c:pt idx="66">
                  <c:v>4</c:v>
                </c:pt>
                <c:pt idx="67">
                  <c:v>3.3</c:v>
                </c:pt>
                <c:pt idx="68">
                  <c:v>5</c:v>
                </c:pt>
                <c:pt idx="69">
                  <c:v>4.3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4.2</c:v>
                </c:pt>
                <c:pt idx="86">
                  <c:v>5</c:v>
                </c:pt>
                <c:pt idx="87">
                  <c:v>5</c:v>
                </c:pt>
                <c:pt idx="88">
                  <c:v>4.3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4.1</c:v>
                </c:pt>
                <c:pt idx="95">
                  <c:v>4.5</c:v>
                </c:pt>
                <c:pt idx="96">
                  <c:v>4.4</c:v>
                </c:pt>
                <c:pt idx="97">
                  <c:v>5</c:v>
                </c:pt>
                <c:pt idx="98">
                  <c:v>4.4</c:v>
                </c:pt>
                <c:pt idx="99">
                  <c:v>4.4</c:v>
                </c:pt>
              </c:numCache>
            </c:numRef>
          </c:yVal>
          <c:smooth val="1"/>
        </c:ser>
        <c:axId val="97813255"/>
        <c:axId val="77112393"/>
      </c:scatterChart>
      <c:valAx>
        <c:axId val="97813255"/>
        <c:scaling>
          <c:orientation val="minMax"/>
        </c:scaling>
        <c:delete val="0"/>
        <c:axPos val="b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Price (million Toman)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77112393"/>
        <c:crosses val="autoZero"/>
        <c:crossBetween val="midCat"/>
      </c:valAx>
      <c:valAx>
        <c:axId val="77112393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e4e9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6b7a9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6b7a90"/>
                    </a:solidFill>
                    <a:latin typeface="Arial"/>
                  </a:rPr>
                  <a:t>Rating (stars)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d5dce6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b2a41"/>
                </a:solidFill>
                <a:latin typeface="Arial"/>
              </a:defRPr>
            </a:pPr>
          </a:p>
        </c:txPr>
        <c:crossAx val="978132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ce6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12</xdr:col>
      <xdr:colOff>373320</xdr:colOff>
      <xdr:row>32</xdr:row>
      <xdr:rowOff>140760</xdr:rowOff>
    </xdr:to>
    <xdr:graphicFrame>
      <xdr:nvGraphicFramePr>
        <xdr:cNvPr id="0" name="Chart 1"/>
        <xdr:cNvGraphicFramePr/>
      </xdr:nvGraphicFramePr>
      <xdr:xfrm>
        <a:off x="141120" y="354348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0</xdr:rowOff>
    </xdr:from>
    <xdr:to>
      <xdr:col>24</xdr:col>
      <xdr:colOff>372960</xdr:colOff>
      <xdr:row>32</xdr:row>
      <xdr:rowOff>140760</xdr:rowOff>
    </xdr:to>
    <xdr:graphicFrame>
      <xdr:nvGraphicFramePr>
        <xdr:cNvPr id="1" name="Chart 2"/>
        <xdr:cNvGraphicFramePr/>
      </xdr:nvGraphicFramePr>
      <xdr:xfrm>
        <a:off x="5467320" y="354348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12</xdr:col>
      <xdr:colOff>373320</xdr:colOff>
      <xdr:row>50</xdr:row>
      <xdr:rowOff>140760</xdr:rowOff>
    </xdr:to>
    <xdr:graphicFrame>
      <xdr:nvGraphicFramePr>
        <xdr:cNvPr id="2" name="Chart 3"/>
        <xdr:cNvGraphicFramePr/>
      </xdr:nvGraphicFramePr>
      <xdr:xfrm>
        <a:off x="141120" y="697248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36</xdr:row>
      <xdr:rowOff>0</xdr:rowOff>
    </xdr:from>
    <xdr:to>
      <xdr:col>24</xdr:col>
      <xdr:colOff>372960</xdr:colOff>
      <xdr:row>50</xdr:row>
      <xdr:rowOff>140760</xdr:rowOff>
    </xdr:to>
    <xdr:graphicFrame>
      <xdr:nvGraphicFramePr>
        <xdr:cNvPr id="3" name="Chart 4"/>
        <xdr:cNvGraphicFramePr/>
      </xdr:nvGraphicFramePr>
      <xdr:xfrm>
        <a:off x="5467320" y="697248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12</xdr:col>
      <xdr:colOff>373320</xdr:colOff>
      <xdr:row>20</xdr:row>
      <xdr:rowOff>140760</xdr:rowOff>
    </xdr:to>
    <xdr:graphicFrame>
      <xdr:nvGraphicFramePr>
        <xdr:cNvPr id="4" name="Chart 1"/>
        <xdr:cNvGraphicFramePr/>
      </xdr:nvGraphicFramePr>
      <xdr:xfrm>
        <a:off x="141120" y="114300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6</xdr:row>
      <xdr:rowOff>0</xdr:rowOff>
    </xdr:from>
    <xdr:to>
      <xdr:col>24</xdr:col>
      <xdr:colOff>372960</xdr:colOff>
      <xdr:row>20</xdr:row>
      <xdr:rowOff>140760</xdr:rowOff>
    </xdr:to>
    <xdr:graphicFrame>
      <xdr:nvGraphicFramePr>
        <xdr:cNvPr id="5" name="Chart 2"/>
        <xdr:cNvGraphicFramePr/>
      </xdr:nvGraphicFramePr>
      <xdr:xfrm>
        <a:off x="5467320" y="114300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12</xdr:col>
      <xdr:colOff>373320</xdr:colOff>
      <xdr:row>38</xdr:row>
      <xdr:rowOff>140760</xdr:rowOff>
    </xdr:to>
    <xdr:graphicFrame>
      <xdr:nvGraphicFramePr>
        <xdr:cNvPr id="6" name="Chart 3"/>
        <xdr:cNvGraphicFramePr/>
      </xdr:nvGraphicFramePr>
      <xdr:xfrm>
        <a:off x="141120" y="457200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24</xdr:row>
      <xdr:rowOff>0</xdr:rowOff>
    </xdr:from>
    <xdr:to>
      <xdr:col>24</xdr:col>
      <xdr:colOff>372960</xdr:colOff>
      <xdr:row>38</xdr:row>
      <xdr:rowOff>140760</xdr:rowOff>
    </xdr:to>
    <xdr:graphicFrame>
      <xdr:nvGraphicFramePr>
        <xdr:cNvPr id="7" name="Chart 4"/>
        <xdr:cNvGraphicFramePr/>
      </xdr:nvGraphicFramePr>
      <xdr:xfrm>
        <a:off x="5467320" y="457200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12</xdr:col>
      <xdr:colOff>373320</xdr:colOff>
      <xdr:row>38</xdr:row>
      <xdr:rowOff>140760</xdr:rowOff>
    </xdr:to>
    <xdr:graphicFrame>
      <xdr:nvGraphicFramePr>
        <xdr:cNvPr id="8" name="Chart 1"/>
        <xdr:cNvGraphicFramePr/>
      </xdr:nvGraphicFramePr>
      <xdr:xfrm>
        <a:off x="141120" y="457200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24</xdr:row>
      <xdr:rowOff>0</xdr:rowOff>
    </xdr:from>
    <xdr:to>
      <xdr:col>24</xdr:col>
      <xdr:colOff>372960</xdr:colOff>
      <xdr:row>38</xdr:row>
      <xdr:rowOff>140760</xdr:rowOff>
    </xdr:to>
    <xdr:graphicFrame>
      <xdr:nvGraphicFramePr>
        <xdr:cNvPr id="9" name="Chart 2"/>
        <xdr:cNvGraphicFramePr/>
      </xdr:nvGraphicFramePr>
      <xdr:xfrm>
        <a:off x="5467320" y="457200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12</xdr:col>
      <xdr:colOff>373320</xdr:colOff>
      <xdr:row>56</xdr:row>
      <xdr:rowOff>140760</xdr:rowOff>
    </xdr:to>
    <xdr:graphicFrame>
      <xdr:nvGraphicFramePr>
        <xdr:cNvPr id="10" name="Chart 3"/>
        <xdr:cNvGraphicFramePr/>
      </xdr:nvGraphicFramePr>
      <xdr:xfrm>
        <a:off x="141120" y="8001000"/>
        <a:ext cx="525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chnolife_dashboard.xlsx" TargetMode="External"/><Relationship Id="rId2" Type="http://schemas.openxmlformats.org/officeDocument/2006/relationships/hyperlink" Target="technolife_dashboard.xlsx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technolife_dashboard.xlsx" TargetMode="External"/><Relationship Id="rId2" Type="http://schemas.openxmlformats.org/officeDocument/2006/relationships/hyperlink" Target="technolife_dashboard.xlsx" TargetMode="External"/><Relationship Id="rId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technolife_dashboard.xlsx" TargetMode="External"/><Relationship Id="rId2" Type="http://schemas.openxmlformats.org/officeDocument/2006/relationships/hyperlink" Target="technolife_dashboard.xlsx" TargetMode="External"/><Relationship Id="rId3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Z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6.3"/>
    <col collapsed="false" customWidth="true" hidden="false" outlineLevel="0" max="26" min="26" style="0" width="2"/>
  </cols>
  <sheetData>
    <row r="1" customFormat="false" ht="15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 t="s">
        <v>2</v>
      </c>
      <c r="R3" s="4"/>
      <c r="S3" s="4"/>
      <c r="T3" s="4"/>
      <c r="U3" s="4" t="s">
        <v>3</v>
      </c>
      <c r="V3" s="4"/>
      <c r="W3" s="4"/>
      <c r="X3" s="4"/>
      <c r="Y3" s="1"/>
      <c r="Z3" s="1"/>
    </row>
    <row r="4" customFormat="false" ht="15" hidden="false" customHeight="false" outlineLevel="0" collapsed="false">
      <c r="A4" s="1"/>
      <c r="B4" s="5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"/>
    </row>
    <row r="5" customFormat="false" ht="15" hidden="false" customHeight="false" outlineLevel="0" collapsed="false">
      <c r="A5" s="1"/>
      <c r="B5" s="6" t="s">
        <v>5</v>
      </c>
      <c r="C5" s="6"/>
      <c r="D5" s="6"/>
      <c r="E5" s="6"/>
      <c r="F5" s="1"/>
      <c r="G5" s="6" t="s">
        <v>6</v>
      </c>
      <c r="H5" s="6"/>
      <c r="I5" s="6"/>
      <c r="J5" s="6"/>
      <c r="K5" s="1"/>
      <c r="L5" s="6" t="s">
        <v>7</v>
      </c>
      <c r="M5" s="6"/>
      <c r="N5" s="6"/>
      <c r="O5" s="6"/>
      <c r="P5" s="1"/>
      <c r="Q5" s="6" t="s">
        <v>8</v>
      </c>
      <c r="R5" s="6"/>
      <c r="S5" s="6"/>
      <c r="T5" s="6"/>
      <c r="U5" s="1"/>
      <c r="V5" s="6" t="s">
        <v>9</v>
      </c>
      <c r="W5" s="6"/>
      <c r="X5" s="6"/>
      <c r="Y5" s="6"/>
      <c r="Z5" s="1"/>
    </row>
    <row r="6" customFormat="false" ht="24" hidden="false" customHeight="true" outlineLevel="0" collapsed="false">
      <c r="A6" s="1"/>
      <c r="B6" s="7" t="s">
        <v>10</v>
      </c>
      <c r="C6" s="7"/>
      <c r="D6" s="7"/>
      <c r="E6" s="7"/>
      <c r="F6" s="1"/>
      <c r="G6" s="7" t="s">
        <v>10</v>
      </c>
      <c r="H6" s="7"/>
      <c r="I6" s="7"/>
      <c r="J6" s="7"/>
      <c r="K6" s="1"/>
      <c r="L6" s="7" t="s">
        <v>10</v>
      </c>
      <c r="M6" s="7"/>
      <c r="N6" s="7"/>
      <c r="O6" s="7"/>
      <c r="P6" s="1"/>
      <c r="Q6" s="7" t="s">
        <v>10</v>
      </c>
      <c r="R6" s="7"/>
      <c r="S6" s="7"/>
      <c r="T6" s="7"/>
      <c r="U6" s="1"/>
      <c r="V6" s="7" t="s">
        <v>10</v>
      </c>
      <c r="W6" s="7"/>
      <c r="X6" s="7"/>
      <c r="Y6" s="7"/>
      <c r="Z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/>
      <c r="B8" s="8" t="s">
        <v>11</v>
      </c>
      <c r="C8" s="8"/>
      <c r="D8" s="8"/>
      <c r="E8" s="8"/>
      <c r="F8" s="1"/>
      <c r="G8" s="9" t="s">
        <v>12</v>
      </c>
      <c r="H8" s="9"/>
      <c r="I8" s="9"/>
      <c r="J8" s="9"/>
      <c r="K8" s="1"/>
      <c r="L8" s="10" t="s">
        <v>13</v>
      </c>
      <c r="M8" s="10"/>
      <c r="N8" s="10"/>
      <c r="O8" s="10"/>
      <c r="P8" s="1"/>
      <c r="Q8" s="8" t="s">
        <v>14</v>
      </c>
      <c r="R8" s="8"/>
      <c r="S8" s="8"/>
      <c r="T8" s="8"/>
      <c r="U8" s="1"/>
      <c r="V8" s="9" t="s">
        <v>15</v>
      </c>
      <c r="W8" s="9"/>
      <c r="X8" s="9"/>
      <c r="Y8" s="9"/>
      <c r="Z8" s="1"/>
    </row>
    <row r="9" customFormat="false" ht="15" hidden="false" customHeight="false" outlineLevel="0" collapsed="false">
      <c r="A9" s="1"/>
      <c r="B9" s="11" t="n">
        <f aca="false">Analysis!$B$5</f>
        <v>99</v>
      </c>
      <c r="C9" s="11"/>
      <c r="D9" s="11"/>
      <c r="E9" s="11"/>
      <c r="F9" s="1"/>
      <c r="G9" s="12" t="n">
        <f aca="false">Analysis!$B$7</f>
        <v>215.5</v>
      </c>
      <c r="H9" s="12"/>
      <c r="I9" s="12"/>
      <c r="J9" s="12"/>
      <c r="K9" s="1"/>
      <c r="L9" s="13" t="n">
        <f aca="false">Analysis!$B$12</f>
        <v>4.17834862385321</v>
      </c>
      <c r="M9" s="13"/>
      <c r="N9" s="13"/>
      <c r="O9" s="13"/>
      <c r="P9" s="1"/>
      <c r="Q9" s="14" t="n">
        <f aca="false">Analysis!$B$13</f>
        <v>0.0808080808080808</v>
      </c>
      <c r="R9" s="14"/>
      <c r="S9" s="14"/>
      <c r="T9" s="14"/>
      <c r="U9" s="1"/>
      <c r="V9" s="15" t="n">
        <f aca="false">Analysis!$B$17</f>
        <v>0.333333333333333</v>
      </c>
      <c r="W9" s="15"/>
      <c r="X9" s="15"/>
      <c r="Y9" s="15"/>
      <c r="Z9" s="1"/>
    </row>
    <row r="10" customFormat="false" ht="15" hidden="false" customHeight="false" outlineLevel="0" collapsed="false">
      <c r="A10" s="1"/>
      <c r="B10" s="11"/>
      <c r="C10" s="11"/>
      <c r="D10" s="11"/>
      <c r="E10" s="11"/>
      <c r="F10" s="1"/>
      <c r="G10" s="12"/>
      <c r="H10" s="12"/>
      <c r="I10" s="12"/>
      <c r="J10" s="12"/>
      <c r="K10" s="1"/>
      <c r="L10" s="13"/>
      <c r="M10" s="13"/>
      <c r="N10" s="13"/>
      <c r="O10" s="13"/>
      <c r="P10" s="1"/>
      <c r="Q10" s="14"/>
      <c r="R10" s="14"/>
      <c r="S10" s="14"/>
      <c r="T10" s="14"/>
      <c r="U10" s="1"/>
      <c r="V10" s="15"/>
      <c r="W10" s="15"/>
      <c r="X10" s="15"/>
      <c r="Y10" s="15"/>
      <c r="Z10" s="1"/>
    </row>
    <row r="11" customFormat="false" ht="15" hidden="false" customHeight="false" outlineLevel="0" collapsed="false">
      <c r="A11" s="1"/>
      <c r="B11" s="16" t="str">
        <f aca="false">"of "&amp;SUM(Clean!$AD$2:$AD$101)&amp;" laptops ("&amp;COUNTA(Clean!$A$2:$A$101)&amp;" crawled)"</f>
        <v>of 99 laptops (100 crawled)</v>
      </c>
      <c r="C11" s="16"/>
      <c r="D11" s="16"/>
      <c r="E11" s="16"/>
      <c r="F11" s="1"/>
      <c r="G11" s="16" t="str">
        <f aca="false">"middle 50%: "&amp;TEXT(Analysis!$B$9,"#,##0")&amp;" – "&amp;TEXT(Analysis!$B$10,"#,##0")&amp;" M"</f>
        <v>middle 50%: 156 – 297 M</v>
      </c>
      <c r="H11" s="16"/>
      <c r="I11" s="16"/>
      <c r="J11" s="16"/>
      <c r="K11" s="1"/>
      <c r="L11" s="16" t="str">
        <f aca="false">TEXT(Analysis!$B$16,"#,##0")&amp;" reviews in total"</f>
        <v>1,090 reviews in total</v>
      </c>
      <c r="M11" s="16"/>
      <c r="N11" s="16"/>
      <c r="O11" s="16"/>
      <c r="P11" s="1"/>
      <c r="Q11" s="16" t="str">
        <f aca="false">Analysis!$B$14&amp;" laptops · avg discount "&amp;TEXT(Analysis!$B$15,"0.0%")</f>
        <v>8 laptops · avg discount 4.4%</v>
      </c>
      <c r="R11" s="16"/>
      <c r="S11" s="16"/>
      <c r="T11" s="16"/>
      <c r="U11" s="1"/>
      <c r="V11" s="16" t="str">
        <f aca="false">"RTX / dedicated graphics"</f>
        <v>RTX / dedicated graphics</v>
      </c>
      <c r="W11" s="16"/>
      <c r="X11" s="16"/>
      <c r="Y11" s="16"/>
      <c r="Z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7" t="s">
        <v>16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"/>
    </row>
    <row r="14" customFormat="false" ht="15" hidden="false" customHeight="false" outlineLevel="0" collapsed="false">
      <c r="A14" s="1"/>
      <c r="B14" s="18" t="str">
        <f aca="false">IF(Analysis!$B$5=0,"No laptops match these filters.","Largest brand: "&amp;Analysis!I23&amp;" with "&amp;Analysis!J23&amp;" laptops ("&amp;TEXT(Analysis!J23/Analysis!$B$5,"0%")&amp;" of the selection).")</f>
        <v>Largest brand: ASUS with 44 laptops (44% of the selection).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"/>
    </row>
    <row r="15" customFormat="false" ht="15" hidden="false" customHeight="false" outlineLevel="0" collapsed="false">
      <c r="A15" s="1"/>
      <c r="B15" s="18" t="str">
        <f aca="false">IF(Analysis!$B$6=0,"","Half of the laptops cost less than "&amp;TEXT(Analysis!$B$7,"#,##0")&amp;" M Toman; the average ("&amp;TEXT(Analysis!$B$8,"#,##0")&amp;" M) is "&amp;IF(Analysis!$B$8&gt;Analysis!$B$7,"pulled up by a few very expensive models.","close to the median, so prices are fairly balanced."))</f>
        <v>Half of the laptops cost less than 216 M Toman; the average (238 M) is pulled up by a few very expensive models.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"/>
    </row>
    <row r="16" customFormat="false" ht="15" hidden="false" customHeight="false" outlineLevel="0" collapsed="false">
      <c r="A16" s="1"/>
      <c r="B16" s="18" t="str">
        <f aca="false">IF(OR(Analysis!B98=0,Analysis!B99=0),"Select ""All"" for GPU type to compare dedicated vs integrated graphics.","Dedicated-GPU laptops cost "&amp;TEXT(Analysis!C98/Analysis!C99,"0.0")&amp;"x as much as integrated-GPU laptops on average ("&amp;TEXT(Analysis!C98,"#,##0")&amp;" vs "&amp;TEXT(Analysis!C99,"#,##0")&amp;" M Toman).")</f>
        <v>Dedicated-GPU laptops cost 1.9x as much as integrated-GPU laptops on average (344 vs 185 M Toman).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/>
      <c r="B18" s="17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false" outlineLevel="0" collapsed="false">
      <c r="A36" s="1"/>
      <c r="B36" s="17" t="s">
        <v>18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false" outlineLevel="0" collapsed="false">
      <c r="A54" s="1"/>
      <c r="B54" s="19" t="s">
        <v>19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</sheetData>
  <mergeCells count="37">
    <mergeCell ref="B1:Y2"/>
    <mergeCell ref="B3:P3"/>
    <mergeCell ref="Q3:T3"/>
    <mergeCell ref="U3:X3"/>
    <mergeCell ref="B4:Y4"/>
    <mergeCell ref="B5:E5"/>
    <mergeCell ref="G5:J5"/>
    <mergeCell ref="L5:O5"/>
    <mergeCell ref="Q5:T5"/>
    <mergeCell ref="V5:Y5"/>
    <mergeCell ref="B6:E6"/>
    <mergeCell ref="G6:J6"/>
    <mergeCell ref="L6:O6"/>
    <mergeCell ref="Q6:T6"/>
    <mergeCell ref="V6:Y6"/>
    <mergeCell ref="B8:E8"/>
    <mergeCell ref="G8:J8"/>
    <mergeCell ref="L8:O8"/>
    <mergeCell ref="Q8:T8"/>
    <mergeCell ref="V8:Y8"/>
    <mergeCell ref="B9:E10"/>
    <mergeCell ref="G9:J10"/>
    <mergeCell ref="L9:O10"/>
    <mergeCell ref="Q9:T10"/>
    <mergeCell ref="V9:Y10"/>
    <mergeCell ref="B11:E11"/>
    <mergeCell ref="G11:J11"/>
    <mergeCell ref="L11:O11"/>
    <mergeCell ref="Q11:T11"/>
    <mergeCell ref="V11:Y11"/>
    <mergeCell ref="B13:Y13"/>
    <mergeCell ref="B14:Y14"/>
    <mergeCell ref="B15:Y15"/>
    <mergeCell ref="B16:Y16"/>
    <mergeCell ref="B18:Y18"/>
    <mergeCell ref="B36:Y36"/>
    <mergeCell ref="B54:Y54"/>
  </mergeCells>
  <dataValidations count="5">
    <dataValidation allowBlank="false" error="Pick a value from the list" errorStyle="stop" operator="between" showDropDown="false" showErrorMessage="true" showInputMessage="false" sqref="B6" type="list">
      <formula1>Params!$J$5:$J$13</formula1>
      <formula2>0</formula2>
    </dataValidation>
    <dataValidation allowBlank="false" error="Pick a value from the list" errorStyle="stop" operator="between" showDropDown="false" showErrorMessage="true" showInputMessage="false" sqref="G6" type="list">
      <formula1>Params!$K$5:$K$9</formula1>
      <formula2>0</formula2>
    </dataValidation>
    <dataValidation allowBlank="false" error="Pick a value from the list" errorStyle="stop" operator="between" showDropDown="false" showErrorMessage="true" showInputMessage="false" sqref="L6" type="list">
      <formula1>Params!$L$5:$L$8</formula1>
      <formula2>0</formula2>
    </dataValidation>
    <dataValidation allowBlank="false" error="Pick a value from the list" errorStyle="stop" operator="between" showDropDown="false" showErrorMessage="true" showInputMessage="false" sqref="Q6" type="list">
      <formula1>Params!$M$5:$M$10</formula1>
      <formula2>0</formula2>
    </dataValidation>
    <dataValidation allowBlank="false" error="Pick a value from the list" errorStyle="stop" operator="between" showDropDown="false" showErrorMessage="true" showInputMessage="false" sqref="V6" type="list">
      <formula1>Params!$N$5:$N$9</formula1>
      <formula2>0</formula2>
    </dataValidation>
  </dataValidations>
  <hyperlinks>
    <hyperlink ref="Q3" r:id="rId1" location="'Specs'!A1" display="Specs &amp; value →"/>
    <hyperlink ref="U3" r:id="rId2" location="'Ratings'!A1" display="Ratings &amp; deals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Z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6.3"/>
    <col collapsed="false" customWidth="true" hidden="false" outlineLevel="0" max="26" min="26" style="0" width="2"/>
  </cols>
  <sheetData>
    <row r="1" customFormat="false" ht="15" hidden="false" customHeight="false" outlineLevel="0" collapsed="false">
      <c r="A1" s="1"/>
      <c r="B1" s="2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 customFormat="false" ht="15" hidden="false" customHeight="false" outlineLevel="0" collapsed="false">
      <c r="A3" s="1"/>
      <c r="B3" s="3" t="s">
        <v>21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 t="s">
        <v>22</v>
      </c>
      <c r="R3" s="4"/>
      <c r="S3" s="4"/>
      <c r="T3" s="4"/>
      <c r="U3" s="4" t="s">
        <v>3</v>
      </c>
      <c r="V3" s="4"/>
      <c r="W3" s="4"/>
      <c r="X3" s="4"/>
      <c r="Y3" s="1"/>
      <c r="Z3" s="1"/>
    </row>
    <row r="4" customFormat="false" ht="15" hidden="false" customHeight="false" outlineLevel="0" collapsed="false">
      <c r="A4" s="1"/>
      <c r="B4" s="20" t="str">
        <f aca="false">"Active filters  ·  Brand: "&amp;fBrand&amp;"  ·  CPU maker: "&amp;fCPU&amp;"  ·  GPU: "&amp;fGPU&amp;"  ·  Price tier: "&amp;fTier&amp;"  ·  RAM: "&amp;fRAM&amp;"   →   "&amp;Analysis!$B$5&amp;" laptops selected (change filters on the Dashboard sheet)"</f>
        <v>Active filters  ·  Brand: All  ·  CPU maker: All  ·  GPU: All  ·  Price tier: All  ·  RAM: All   →   99 laptops selected (change filters on the Dashboard sheet)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17" t="s">
        <v>23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false" outlineLevel="0" collapsed="false">
      <c r="A24" s="1"/>
      <c r="B24" s="17" t="s">
        <v>24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false" outlineLevel="0" collapsed="false">
      <c r="A42" s="1"/>
      <c r="B42" s="17" t="s">
        <v>25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"/>
    </row>
    <row r="43" customFormat="false" ht="15" hidden="false" customHeight="false" outlineLevel="0" collapsed="false">
      <c r="A43" s="1"/>
      <c r="B43" s="6" t="s">
        <v>26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 t="s">
        <v>27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1"/>
    </row>
    <row r="44" customFormat="false" ht="15" hidden="false" customHeight="false" outlineLevel="0" collapsed="false">
      <c r="A44" s="1"/>
      <c r="B44" s="21" t="s">
        <v>28</v>
      </c>
      <c r="C44" s="21"/>
      <c r="D44" s="21"/>
      <c r="E44" s="21" t="str">
        <f aca="false">Analysis!B$103</f>
        <v>≤ 256 GB</v>
      </c>
      <c r="F44" s="21"/>
      <c r="G44" s="21"/>
      <c r="H44" s="21" t="str">
        <f aca="false">Analysis!C$103</f>
        <v>512 GB</v>
      </c>
      <c r="I44" s="21"/>
      <c r="J44" s="21"/>
      <c r="K44" s="21" t="str">
        <f aca="false">Analysis!D$103</f>
        <v>1 TB +</v>
      </c>
      <c r="L44" s="21"/>
      <c r="M44" s="21"/>
      <c r="N44" s="21" t="s">
        <v>28</v>
      </c>
      <c r="O44" s="21"/>
      <c r="P44" s="21"/>
      <c r="Q44" s="21" t="str">
        <f aca="false">Analysis!B$103</f>
        <v>≤ 256 GB</v>
      </c>
      <c r="R44" s="21"/>
      <c r="S44" s="21"/>
      <c r="T44" s="21" t="str">
        <f aca="false">Analysis!C$103</f>
        <v>512 GB</v>
      </c>
      <c r="U44" s="21"/>
      <c r="V44" s="21"/>
      <c r="W44" s="21" t="str">
        <f aca="false">Analysis!D$103</f>
        <v>1 TB +</v>
      </c>
      <c r="X44" s="21"/>
      <c r="Y44" s="21"/>
      <c r="Z44" s="1"/>
    </row>
    <row r="45" customFormat="false" ht="30" hidden="false" customHeight="true" outlineLevel="0" collapsed="false">
      <c r="A45" s="1"/>
      <c r="B45" s="22" t="str">
        <f aca="false">Analysis!A104</f>
        <v>≤ 8 GB</v>
      </c>
      <c r="C45" s="22"/>
      <c r="D45" s="22"/>
      <c r="E45" s="23" t="n">
        <f aca="false">Analysis!B104</f>
        <v>117.9469</v>
      </c>
      <c r="F45" s="23"/>
      <c r="G45" s="23"/>
      <c r="H45" s="23" t="n">
        <f aca="false">Analysis!C104</f>
        <v>152.348894736842</v>
      </c>
      <c r="I45" s="23"/>
      <c r="J45" s="23"/>
      <c r="K45" s="23" t="n">
        <f aca="false">Analysis!D104</f>
        <v>121</v>
      </c>
      <c r="L45" s="23"/>
      <c r="M45" s="23"/>
      <c r="N45" s="22" t="str">
        <f aca="false">Analysis!A104</f>
        <v>≤ 8 GB</v>
      </c>
      <c r="O45" s="22"/>
      <c r="P45" s="22"/>
      <c r="Q45" s="24" t="n">
        <f aca="false">Analysis!G104</f>
        <v>10</v>
      </c>
      <c r="R45" s="24"/>
      <c r="S45" s="24"/>
      <c r="T45" s="24" t="n">
        <f aca="false">Analysis!H104</f>
        <v>19</v>
      </c>
      <c r="U45" s="24"/>
      <c r="V45" s="24"/>
      <c r="W45" s="24" t="n">
        <f aca="false">Analysis!I104</f>
        <v>1</v>
      </c>
      <c r="X45" s="24"/>
      <c r="Y45" s="24"/>
      <c r="Z45" s="1"/>
    </row>
    <row r="46" customFormat="false" ht="30" hidden="false" customHeight="true" outlineLevel="0" collapsed="false">
      <c r="A46" s="1"/>
      <c r="B46" s="22" t="str">
        <f aca="false">Analysis!A105</f>
        <v>12–16 GB</v>
      </c>
      <c r="C46" s="22"/>
      <c r="D46" s="22"/>
      <c r="E46" s="23" t="n">
        <f aca="false">Analysis!B105</f>
        <v>131.4</v>
      </c>
      <c r="F46" s="23"/>
      <c r="G46" s="23"/>
      <c r="H46" s="23" t="n">
        <f aca="false">Analysis!C105</f>
        <v>241.099714285714</v>
      </c>
      <c r="I46" s="23"/>
      <c r="J46" s="23"/>
      <c r="K46" s="23" t="n">
        <f aca="false">Analysis!D105</f>
        <v>312.468421052632</v>
      </c>
      <c r="L46" s="23"/>
      <c r="M46" s="23"/>
      <c r="N46" s="22" t="str">
        <f aca="false">Analysis!A105</f>
        <v>12–16 GB</v>
      </c>
      <c r="O46" s="22"/>
      <c r="P46" s="22"/>
      <c r="Q46" s="24" t="n">
        <f aca="false">Analysis!G105</f>
        <v>2</v>
      </c>
      <c r="R46" s="24"/>
      <c r="S46" s="24"/>
      <c r="T46" s="24" t="n">
        <f aca="false">Analysis!H105</f>
        <v>35</v>
      </c>
      <c r="U46" s="24"/>
      <c r="V46" s="24"/>
      <c r="W46" s="24" t="n">
        <f aca="false">Analysis!I105</f>
        <v>19</v>
      </c>
      <c r="X46" s="24"/>
      <c r="Y46" s="24"/>
      <c r="Z46" s="1"/>
    </row>
    <row r="47" customFormat="false" ht="30" hidden="false" customHeight="true" outlineLevel="0" collapsed="false">
      <c r="A47" s="1"/>
      <c r="B47" s="22" t="str">
        <f aca="false">Analysis!A106</f>
        <v>20 GB +</v>
      </c>
      <c r="C47" s="22"/>
      <c r="D47" s="22"/>
      <c r="E47" s="23" t="str">
        <f aca="false">Analysis!B106</f>
        <v>–</v>
      </c>
      <c r="F47" s="23"/>
      <c r="G47" s="23"/>
      <c r="H47" s="23" t="n">
        <f aca="false">Analysis!C106</f>
        <v>287.066666666667</v>
      </c>
      <c r="I47" s="23"/>
      <c r="J47" s="23"/>
      <c r="K47" s="23" t="n">
        <f aca="false">Analysis!D106</f>
        <v>404.625</v>
      </c>
      <c r="L47" s="23"/>
      <c r="M47" s="23"/>
      <c r="N47" s="22" t="str">
        <f aca="false">Analysis!A106</f>
        <v>20 GB +</v>
      </c>
      <c r="O47" s="22"/>
      <c r="P47" s="22"/>
      <c r="Q47" s="24" t="n">
        <f aca="false">Analysis!G106</f>
        <v>0</v>
      </c>
      <c r="R47" s="24"/>
      <c r="S47" s="24"/>
      <c r="T47" s="24" t="n">
        <f aca="false">Analysis!H106</f>
        <v>3</v>
      </c>
      <c r="U47" s="24"/>
      <c r="V47" s="24"/>
      <c r="W47" s="24" t="n">
        <f aca="false">Analysis!I106</f>
        <v>8</v>
      </c>
      <c r="X47" s="24"/>
      <c r="Y47" s="24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1"/>
      <c r="B49" s="19" t="s">
        <v>29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</sheetData>
  <mergeCells count="43">
    <mergeCell ref="B1:Y2"/>
    <mergeCell ref="B3:P3"/>
    <mergeCell ref="Q3:T3"/>
    <mergeCell ref="U3:X3"/>
    <mergeCell ref="B4:Y4"/>
    <mergeCell ref="B6:Y6"/>
    <mergeCell ref="B24:Y24"/>
    <mergeCell ref="B42:Y42"/>
    <mergeCell ref="B43:M43"/>
    <mergeCell ref="N43:Y43"/>
    <mergeCell ref="B44:D44"/>
    <mergeCell ref="E44:G44"/>
    <mergeCell ref="H44:J44"/>
    <mergeCell ref="K44:M44"/>
    <mergeCell ref="N44:P44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5:Y45"/>
    <mergeCell ref="B46:D46"/>
    <mergeCell ref="E46:G46"/>
    <mergeCell ref="H46:J46"/>
    <mergeCell ref="K46:M46"/>
    <mergeCell ref="N46:P46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W47:Y47"/>
    <mergeCell ref="B49:Y49"/>
  </mergeCells>
  <conditionalFormatting sqref="E45:M47">
    <cfRule type="colorScale" priority="2">
      <colorScale>
        <cfvo type="min" val="0"/>
        <cfvo type="max" val="0"/>
        <color rgb="FFE8F4F2"/>
        <color rgb="FF2A9D8F"/>
      </colorScale>
    </cfRule>
  </conditionalFormatting>
  <conditionalFormatting sqref="Q45:Y47">
    <cfRule type="colorScale" priority="3">
      <colorScale>
        <cfvo type="min" val="0"/>
        <cfvo type="max" val="0"/>
        <color rgb="FFEEF1F6"/>
        <color rgb="FF8D99AE"/>
      </colorScale>
    </cfRule>
  </conditionalFormatting>
  <hyperlinks>
    <hyperlink ref="Q3" r:id="rId1" location="'Dashboard'!A1" display="Overview →"/>
    <hyperlink ref="U3" r:id="rId2" location="'Ratings'!A1" display="Ratings &amp; deals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true"/>
  </sheetPr>
  <dimension ref="A1:Z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6.3"/>
    <col collapsed="false" customWidth="true" hidden="false" outlineLevel="0" max="26" min="26" style="0" width="2"/>
  </cols>
  <sheetData>
    <row r="1" customFormat="false" ht="15" hidden="false" customHeight="false" outlineLevel="0" collapsed="false">
      <c r="A1" s="1"/>
      <c r="B1" s="2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 customFormat="false" ht="15" hidden="false" customHeight="false" outlineLevel="0" collapsed="false">
      <c r="A3" s="1"/>
      <c r="B3" s="3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 t="s">
        <v>22</v>
      </c>
      <c r="R3" s="4"/>
      <c r="S3" s="4"/>
      <c r="T3" s="4"/>
      <c r="U3" s="4" t="s">
        <v>2</v>
      </c>
      <c r="V3" s="4"/>
      <c r="W3" s="4"/>
      <c r="X3" s="4"/>
      <c r="Y3" s="1"/>
      <c r="Z3" s="1"/>
    </row>
    <row r="4" customFormat="false" ht="15" hidden="false" customHeight="false" outlineLevel="0" collapsed="false">
      <c r="A4" s="1"/>
      <c r="B4" s="20" t="str">
        <f aca="false">"Active filters  ·  Brand: "&amp;fBrand&amp;"  ·  CPU maker: "&amp;fCPU&amp;"  ·  GPU: "&amp;fGPU&amp;"  ·  Price tier: "&amp;fTier&amp;"  ·  RAM: "&amp;fRAM&amp;"   →   "&amp;Analysis!$B$5&amp;" laptops selected (change filters on the Dashboard sheet)"</f>
        <v>Active filters  ·  Brand: All  ·  CPU maker: All  ·  GPU: All  ·  Price tier: All  ·  RAM: All   →   99 laptops selected (change filters on the Dashboard sheet)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10" t="s">
        <v>32</v>
      </c>
      <c r="C6" s="10"/>
      <c r="D6" s="10"/>
      <c r="E6" s="10"/>
      <c r="F6" s="1"/>
      <c r="G6" s="8" t="s">
        <v>13</v>
      </c>
      <c r="H6" s="8"/>
      <c r="I6" s="8"/>
      <c r="J6" s="8"/>
      <c r="K6" s="1"/>
      <c r="L6" s="9" t="s">
        <v>33</v>
      </c>
      <c r="M6" s="9"/>
      <c r="N6" s="9"/>
      <c r="O6" s="9"/>
      <c r="P6" s="1"/>
      <c r="Q6" s="8" t="s">
        <v>34</v>
      </c>
      <c r="R6" s="8"/>
      <c r="S6" s="8"/>
      <c r="T6" s="8"/>
      <c r="U6" s="1"/>
      <c r="V6" s="10" t="s">
        <v>35</v>
      </c>
      <c r="W6" s="10"/>
      <c r="X6" s="10"/>
      <c r="Y6" s="10"/>
      <c r="Z6" s="1"/>
    </row>
    <row r="7" customFormat="false" ht="15" hidden="false" customHeight="false" outlineLevel="0" collapsed="false">
      <c r="A7" s="1"/>
      <c r="B7" s="13" t="n">
        <f aca="false">Analysis!$B$11</f>
        <v>4.47979797979798</v>
      </c>
      <c r="C7" s="13"/>
      <c r="D7" s="13"/>
      <c r="E7" s="13"/>
      <c r="F7" s="1"/>
      <c r="G7" s="25" t="n">
        <f aca="false">Analysis!$B$12</f>
        <v>4.17834862385321</v>
      </c>
      <c r="H7" s="25"/>
      <c r="I7" s="25"/>
      <c r="J7" s="25"/>
      <c r="K7" s="1"/>
      <c r="L7" s="26" t="n">
        <f aca="false">Analysis!$B$16</f>
        <v>1090</v>
      </c>
      <c r="M7" s="26"/>
      <c r="N7" s="26"/>
      <c r="O7" s="26"/>
      <c r="P7" s="1"/>
      <c r="Q7" s="25" t="n">
        <f aca="false">Analysis!$B$19</f>
        <v>0.239049935546848</v>
      </c>
      <c r="R7" s="25"/>
      <c r="S7" s="25"/>
      <c r="T7" s="25"/>
      <c r="U7" s="1"/>
      <c r="V7" s="27" t="n">
        <f aca="false">Analysis!$B$15</f>
        <v>0.0441432087101495</v>
      </c>
      <c r="W7" s="27"/>
      <c r="X7" s="27"/>
      <c r="Y7" s="27"/>
      <c r="Z7" s="1"/>
    </row>
    <row r="8" customFormat="false" ht="15" hidden="false" customHeight="false" outlineLevel="0" collapsed="false">
      <c r="A8" s="1"/>
      <c r="B8" s="13"/>
      <c r="C8" s="13"/>
      <c r="D8" s="13"/>
      <c r="E8" s="13"/>
      <c r="F8" s="1"/>
      <c r="G8" s="25"/>
      <c r="H8" s="25"/>
      <c r="I8" s="25"/>
      <c r="J8" s="25"/>
      <c r="K8" s="1"/>
      <c r="L8" s="26"/>
      <c r="M8" s="26"/>
      <c r="N8" s="26"/>
      <c r="O8" s="26"/>
      <c r="P8" s="1"/>
      <c r="Q8" s="25"/>
      <c r="R8" s="25"/>
      <c r="S8" s="25"/>
      <c r="T8" s="25"/>
      <c r="U8" s="1"/>
      <c r="V8" s="27"/>
      <c r="W8" s="27"/>
      <c r="X8" s="27"/>
      <c r="Y8" s="27"/>
      <c r="Z8" s="1"/>
    </row>
    <row r="9" customFormat="false" ht="15" hidden="false" customHeight="false" outlineLevel="0" collapsed="false">
      <c r="A9" s="1"/>
      <c r="B9" s="16" t="str">
        <f aca="false">"average of laptop ratings"</f>
        <v>average of laptop ratings</v>
      </c>
      <c r="C9" s="16"/>
      <c r="D9" s="16"/>
      <c r="E9" s="16"/>
      <c r="F9" s="1"/>
      <c r="G9" s="16" t="str">
        <f aca="false">"weighted by number of reviews"</f>
        <v>weighted by number of reviews</v>
      </c>
      <c r="H9" s="16"/>
      <c r="I9" s="16"/>
      <c r="J9" s="16"/>
      <c r="K9" s="1"/>
      <c r="L9" s="16" t="str">
        <f aca="false">"over "&amp;Analysis!$B$5&amp;" laptops"</f>
        <v>over 99 laptops</v>
      </c>
      <c r="M9" s="16"/>
      <c r="N9" s="16"/>
      <c r="O9" s="16"/>
      <c r="P9" s="1"/>
      <c r="Q9" s="16" t="str">
        <f aca="false">"Pearson r · no causal claim"</f>
        <v>Pearson r · no causal claim</v>
      </c>
      <c r="R9" s="16"/>
      <c r="S9" s="16"/>
      <c r="T9" s="16"/>
      <c r="U9" s="1"/>
      <c r="V9" s="16" t="str">
        <f aca="false">Analysis!$B$14&amp;" laptops discounted"</f>
        <v>8 laptops discounted</v>
      </c>
      <c r="W9" s="16"/>
      <c r="X9" s="16"/>
      <c r="Y9" s="16"/>
      <c r="Z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7" t="s">
        <v>36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"/>
    </row>
    <row r="12" customFormat="false" ht="15" hidden="false" customHeight="false" outlineLevel="0" collapsed="false">
      <c r="A12" s="1"/>
      <c r="B12" s="21" t="s">
        <v>37</v>
      </c>
      <c r="C12" s="21"/>
      <c r="D12" s="21" t="s">
        <v>38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 t="s">
        <v>5</v>
      </c>
      <c r="P12" s="21"/>
      <c r="Q12" s="21"/>
      <c r="R12" s="21" t="s">
        <v>39</v>
      </c>
      <c r="S12" s="21"/>
      <c r="T12" s="21"/>
      <c r="U12" s="21" t="s">
        <v>40</v>
      </c>
      <c r="V12" s="21"/>
      <c r="W12" s="21" t="s">
        <v>41</v>
      </c>
      <c r="X12" s="21"/>
      <c r="Y12" s="21"/>
      <c r="Z12" s="1"/>
    </row>
    <row r="13" customFormat="false" ht="15" hidden="false" customHeight="false" outlineLevel="0" collapsed="false">
      <c r="A13" s="1"/>
      <c r="B13" s="28" t="n">
        <f aca="false">Analysis!A225</f>
        <v>1</v>
      </c>
      <c r="C13" s="28"/>
      <c r="D13" s="29" t="str">
        <f aca="false">Analysis!D225</f>
        <v>لپ تاپ اچ پی 15.6 اینچی مدل Victus 15 FA2082WM i5 13420H 32GB 1TB RTX4050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 t="str">
        <f aca="false">Analysis!E225</f>
        <v>HP</v>
      </c>
      <c r="P13" s="30"/>
      <c r="Q13" s="30"/>
      <c r="R13" s="31" t="n">
        <f aca="false">Analysis!F225</f>
        <v>310</v>
      </c>
      <c r="S13" s="31"/>
      <c r="T13" s="31"/>
      <c r="U13" s="32" t="n">
        <f aca="false">Analysis!G225</f>
        <v>5</v>
      </c>
      <c r="V13" s="32"/>
      <c r="W13" s="28" t="n">
        <f aca="false">Analysis!H225</f>
        <v>7</v>
      </c>
      <c r="X13" s="28"/>
      <c r="Y13" s="28"/>
      <c r="Z13" s="1"/>
    </row>
    <row r="14" customFormat="false" ht="15" hidden="false" customHeight="false" outlineLevel="0" collapsed="false">
      <c r="A14" s="1"/>
      <c r="B14" s="28" t="n">
        <f aca="false">Analysis!A226</f>
        <v>2</v>
      </c>
      <c r="C14" s="28"/>
      <c r="D14" s="29" t="str">
        <f aca="false">Analysis!D226</f>
        <v>لپ تاپ ایسوس 16 اینچی مدل ROG Strix G16 G615JMR i7 14650HX 16GB 1TB RTX 5060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 t="str">
        <f aca="false">Analysis!E226</f>
        <v>ASUS</v>
      </c>
      <c r="P14" s="30"/>
      <c r="Q14" s="30"/>
      <c r="R14" s="31" t="n">
        <f aca="false">Analysis!F226</f>
        <v>504</v>
      </c>
      <c r="S14" s="31"/>
      <c r="T14" s="31"/>
      <c r="U14" s="32" t="n">
        <f aca="false">Analysis!G226</f>
        <v>5</v>
      </c>
      <c r="V14" s="32"/>
      <c r="W14" s="28" t="n">
        <f aca="false">Analysis!H226</f>
        <v>4</v>
      </c>
      <c r="X14" s="28"/>
      <c r="Y14" s="28"/>
      <c r="Z14" s="1"/>
    </row>
    <row r="15" customFormat="false" ht="15" hidden="false" customHeight="false" outlineLevel="0" collapsed="false">
      <c r="A15" s="1"/>
      <c r="B15" s="28" t="n">
        <f aca="false">Analysis!A227</f>
        <v>3</v>
      </c>
      <c r="C15" s="28"/>
      <c r="D15" s="29" t="str">
        <f aca="false">Analysis!D227</f>
        <v>لپ تاپ 13 اینچی اپل مدل MacBook Neo A18 Pro 2026 8GB 256GB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0" t="str">
        <f aca="false">Analysis!E227</f>
        <v>Apple</v>
      </c>
      <c r="P15" s="30"/>
      <c r="Q15" s="30"/>
      <c r="R15" s="31" t="n">
        <f aca="false">Analysis!F227</f>
        <v>217.47</v>
      </c>
      <c r="S15" s="31"/>
      <c r="T15" s="31"/>
      <c r="U15" s="32" t="n">
        <f aca="false">Analysis!G227</f>
        <v>4.7</v>
      </c>
      <c r="V15" s="32"/>
      <c r="W15" s="28" t="n">
        <f aca="false">Analysis!H227</f>
        <v>13</v>
      </c>
      <c r="X15" s="28"/>
      <c r="Y15" s="28"/>
      <c r="Z15" s="1"/>
    </row>
    <row r="16" customFormat="false" ht="15" hidden="false" customHeight="false" outlineLevel="0" collapsed="false">
      <c r="A16" s="1"/>
      <c r="B16" s="28" t="n">
        <f aca="false">Analysis!A228</f>
        <v>4</v>
      </c>
      <c r="C16" s="28"/>
      <c r="D16" s="29" t="str">
        <f aca="false">Analysis!D228</f>
        <v>لپ تاپ ایسوس 15.6 اینچی مدل Vivobook 15 X1504VA i7 1355U 16GB 1TB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0" t="str">
        <f aca="false">Analysis!E228</f>
        <v>ASUS</v>
      </c>
      <c r="P16" s="30"/>
      <c r="Q16" s="30"/>
      <c r="R16" s="31" t="n">
        <f aca="false">Analysis!F228</f>
        <v>210.3</v>
      </c>
      <c r="S16" s="31"/>
      <c r="T16" s="31"/>
      <c r="U16" s="32" t="n">
        <f aca="false">Analysis!G228</f>
        <v>4.6</v>
      </c>
      <c r="V16" s="32"/>
      <c r="W16" s="28" t="n">
        <f aca="false">Analysis!H228</f>
        <v>30</v>
      </c>
      <c r="X16" s="28"/>
      <c r="Y16" s="28"/>
      <c r="Z16" s="1"/>
    </row>
    <row r="17" customFormat="false" ht="15" hidden="false" customHeight="false" outlineLevel="0" collapsed="false">
      <c r="A17" s="1"/>
      <c r="B17" s="28" t="n">
        <f aca="false">Analysis!A229</f>
        <v>5</v>
      </c>
      <c r="C17" s="28"/>
      <c r="D17" s="29" t="str">
        <f aca="false">Analysis!D229</f>
        <v>لپ تاپ اچ پی 15.6 اینچی مدل Victus 15 FA2082WM i5 13420H 32GB 512GB RTX4050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 t="str">
        <f aca="false">Analysis!E229</f>
        <v>HP</v>
      </c>
      <c r="P17" s="30"/>
      <c r="Q17" s="30"/>
      <c r="R17" s="31" t="n">
        <f aca="false">Analysis!F229</f>
        <v>314</v>
      </c>
      <c r="S17" s="31"/>
      <c r="T17" s="31"/>
      <c r="U17" s="32" t="n">
        <f aca="false">Analysis!G229</f>
        <v>5</v>
      </c>
      <c r="V17" s="32"/>
      <c r="W17" s="28" t="n">
        <f aca="false">Analysis!H229</f>
        <v>2</v>
      </c>
      <c r="X17" s="28"/>
      <c r="Y17" s="28"/>
      <c r="Z17" s="1"/>
    </row>
    <row r="18" customFormat="false" ht="15" hidden="false" customHeight="false" outlineLevel="0" collapsed="false">
      <c r="A18" s="1"/>
      <c r="B18" s="28" t="n">
        <f aca="false">Analysis!A230</f>
        <v>6</v>
      </c>
      <c r="C18" s="28"/>
      <c r="D18" s="29" t="str">
        <f aca="false">Analysis!D230</f>
        <v>لپ تاپ لنوو 15.3 اینچی مدل IdeaPad Slim 3 i5 13420H 8GB 512GB WUXGA Backlit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 t="str">
        <f aca="false">Analysis!E230</f>
        <v>Lenovo</v>
      </c>
      <c r="P18" s="30"/>
      <c r="Q18" s="30"/>
      <c r="R18" s="31" t="n">
        <f aca="false">Analysis!F230</f>
        <v>160</v>
      </c>
      <c r="S18" s="31"/>
      <c r="T18" s="31"/>
      <c r="U18" s="32" t="n">
        <f aca="false">Analysis!G230</f>
        <v>5</v>
      </c>
      <c r="V18" s="32"/>
      <c r="W18" s="28" t="n">
        <f aca="false">Analysis!H230</f>
        <v>2</v>
      </c>
      <c r="X18" s="28"/>
      <c r="Y18" s="28"/>
      <c r="Z18" s="1"/>
    </row>
    <row r="19" customFormat="false" ht="15" hidden="false" customHeight="false" outlineLevel="0" collapsed="false">
      <c r="A19" s="1"/>
      <c r="B19" s="28" t="n">
        <f aca="false">Analysis!A231</f>
        <v>7</v>
      </c>
      <c r="C19" s="28"/>
      <c r="D19" s="29" t="str">
        <f aca="false">Analysis!D231</f>
        <v>لپ تاپ ام اس آی 15.6 اینچی مدل Cyborg 15 A13UC i7 13620H 16GB 1TB RTX 3050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 t="str">
        <f aca="false">Analysis!E231</f>
        <v>MSI</v>
      </c>
      <c r="P19" s="30"/>
      <c r="Q19" s="30"/>
      <c r="R19" s="31" t="n">
        <f aca="false">Analysis!F231</f>
        <v>272</v>
      </c>
      <c r="S19" s="31"/>
      <c r="T19" s="31"/>
      <c r="U19" s="32" t="n">
        <f aca="false">Analysis!G231</f>
        <v>5</v>
      </c>
      <c r="V19" s="32"/>
      <c r="W19" s="28" t="n">
        <f aca="false">Analysis!H231</f>
        <v>2</v>
      </c>
      <c r="X19" s="28"/>
      <c r="Y19" s="28"/>
      <c r="Z19" s="1"/>
    </row>
    <row r="20" customFormat="false" ht="15" hidden="false" customHeight="false" outlineLevel="0" collapsed="false">
      <c r="A20" s="1"/>
      <c r="B20" s="28" t="n">
        <f aca="false">Analysis!A232</f>
        <v>8</v>
      </c>
      <c r="C20" s="28"/>
      <c r="D20" s="29" t="str">
        <f aca="false">Analysis!D232</f>
        <v>لپ تاپ 16 اینچی ایسوس مدل TUF Gaming FX607VU CORE 5 210H 16GB 512GB RTX 4050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 t="str">
        <f aca="false">Analysis!E232</f>
        <v>ASUS</v>
      </c>
      <c r="P20" s="30"/>
      <c r="Q20" s="30"/>
      <c r="R20" s="31" t="n">
        <f aca="false">Analysis!F232</f>
        <v>312</v>
      </c>
      <c r="S20" s="31"/>
      <c r="T20" s="31"/>
      <c r="U20" s="32" t="n">
        <f aca="false">Analysis!G232</f>
        <v>4.6</v>
      </c>
      <c r="V20" s="32"/>
      <c r="W20" s="28" t="n">
        <f aca="false">Analysis!H232</f>
        <v>22</v>
      </c>
      <c r="X20" s="28"/>
      <c r="Y20" s="28"/>
      <c r="Z20" s="1"/>
    </row>
    <row r="21" customFormat="false" ht="15" hidden="false" customHeight="false" outlineLevel="0" collapsed="false">
      <c r="A21" s="1"/>
      <c r="B21" s="28" t="n">
        <f aca="false">Analysis!A233</f>
        <v>9</v>
      </c>
      <c r="C21" s="28"/>
      <c r="D21" s="29" t="str">
        <f aca="false">Analysis!D233</f>
        <v>لپ تاپ 15.6 اینچی لنوو مدل IdeaPad 1 15IJL7 Celeron N4500 8GB 256GB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 t="str">
        <f aca="false">Analysis!E233</f>
        <v>Lenovo</v>
      </c>
      <c r="P21" s="30"/>
      <c r="Q21" s="30"/>
      <c r="R21" s="31" t="n">
        <f aca="false">Analysis!F233</f>
        <v>94.5</v>
      </c>
      <c r="S21" s="31"/>
      <c r="T21" s="31"/>
      <c r="U21" s="32" t="n">
        <f aca="false">Analysis!G233</f>
        <v>4.7</v>
      </c>
      <c r="V21" s="32"/>
      <c r="W21" s="28" t="n">
        <f aca="false">Analysis!H233</f>
        <v>6</v>
      </c>
      <c r="X21" s="28"/>
      <c r="Y21" s="28"/>
      <c r="Z21" s="1"/>
    </row>
    <row r="22" customFormat="false" ht="15" hidden="false" customHeight="false" outlineLevel="0" collapsed="false">
      <c r="A22" s="1"/>
      <c r="B22" s="28" t="n">
        <f aca="false">Analysis!A234</f>
        <v>10</v>
      </c>
      <c r="C22" s="28"/>
      <c r="D22" s="29" t="str">
        <f aca="false">Analysis!D234</f>
        <v>لپ تاپ ایسوس 16 اینچی مدل TUF Gaming F16 FX608JMR i7 14650HX 32GB 1TB RTX 5060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 t="str">
        <f aca="false">Analysis!E234</f>
        <v>ASUS</v>
      </c>
      <c r="P22" s="30"/>
      <c r="Q22" s="30"/>
      <c r="R22" s="31" t="n">
        <f aca="false">Analysis!F234</f>
        <v>495.5</v>
      </c>
      <c r="S22" s="31"/>
      <c r="T22" s="31"/>
      <c r="U22" s="32" t="n">
        <f aca="false">Analysis!G234</f>
        <v>4.6</v>
      </c>
      <c r="V22" s="32"/>
      <c r="W22" s="28" t="n">
        <f aca="false">Analysis!H234</f>
        <v>9</v>
      </c>
      <c r="X22" s="28"/>
      <c r="Y22" s="28"/>
      <c r="Z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false" outlineLevel="0" collapsed="false">
      <c r="A24" s="1"/>
      <c r="B24" s="17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false" outlineLevel="0" collapsed="false">
      <c r="A42" s="1"/>
      <c r="B42" s="17" t="s">
        <v>43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 t="str">
        <f aca="false">"Reading the plot"&amp;CHAR(10)&amp;CHAR(10)&amp;"Pearson correlation between price and rating: "&amp;IF(ISNUMBER(Analysis!$B$19),TEXT(Analysis!$B$19,"0.00"),"n/a")&amp;CHAR(10)&amp;CHAR(10)&amp;"Values near 0 mean price tells us little about satisfaction; correlation does not imply that price causes better (or worse) ratings. Many laptops have only a few reviews, so single dots can be noisy."</f>
        <v>Reading the plot
Pearson correlation between price and rating: 0.24
Values near 0 mean price tells us little about satisfaction; correlation does not imply that price causes better (or worse) ratings. Many laptops have only a few reviews, so single dots can be noisy.</v>
      </c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7" t="s">
        <v>44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"/>
    </row>
    <row r="61" customFormat="false" ht="15" hidden="false" customHeight="false" outlineLevel="0" collapsed="false">
      <c r="A61" s="1"/>
      <c r="B61" s="21" t="s">
        <v>37</v>
      </c>
      <c r="C61" s="21"/>
      <c r="D61" s="21" t="s">
        <v>38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 t="s">
        <v>5</v>
      </c>
      <c r="P61" s="21"/>
      <c r="Q61" s="21"/>
      <c r="R61" s="21" t="s">
        <v>45</v>
      </c>
      <c r="S61" s="21"/>
      <c r="T61" s="21"/>
      <c r="U61" s="21" t="s">
        <v>46</v>
      </c>
      <c r="V61" s="21"/>
      <c r="W61" s="21" t="s">
        <v>47</v>
      </c>
      <c r="X61" s="21"/>
      <c r="Y61" s="21"/>
      <c r="Z61" s="1"/>
    </row>
    <row r="62" customFormat="false" ht="15" hidden="false" customHeight="false" outlineLevel="0" collapsed="false">
      <c r="A62" s="1"/>
      <c r="B62" s="28" t="n">
        <f aca="false">IF(Analysis!D239="","",Analysis!A239)</f>
        <v>1</v>
      </c>
      <c r="C62" s="28"/>
      <c r="D62" s="29" t="str">
        <f aca="false">Analysis!D239</f>
        <v>لپ تاپ ایسوس 16 اینچی مدل TUF Gaming F16 FX607VJB Core 5 210H 16GB 512GB RTX 3050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30" t="str">
        <f aca="false">Analysis!E239</f>
        <v>ASUS</v>
      </c>
      <c r="P62" s="30"/>
      <c r="Q62" s="30"/>
      <c r="R62" s="31" t="n">
        <f aca="false">Analysis!F239</f>
        <v>277</v>
      </c>
      <c r="S62" s="31"/>
      <c r="T62" s="31"/>
      <c r="U62" s="31" t="n">
        <f aca="false">Analysis!G239</f>
        <v>312</v>
      </c>
      <c r="V62" s="31"/>
      <c r="W62" s="34" t="n">
        <f aca="false">Analysis!H239</f>
        <v>0.112179487179487</v>
      </c>
      <c r="X62" s="34"/>
      <c r="Y62" s="34"/>
      <c r="Z62" s="1"/>
    </row>
    <row r="63" customFormat="false" ht="15" hidden="false" customHeight="false" outlineLevel="0" collapsed="false">
      <c r="A63" s="1"/>
      <c r="B63" s="28" t="n">
        <f aca="false">IF(Analysis!D240="","",Analysis!A240)</f>
        <v>2</v>
      </c>
      <c r="C63" s="28"/>
      <c r="D63" s="29" t="str">
        <f aca="false">Analysis!D240</f>
        <v>لپ تاپ 15.6 اینچی اچ پی مدل Victus 15 FB3093DX R7 7445HS 16GB 512GB RTX 4050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0" t="str">
        <f aca="false">Analysis!E240</f>
        <v>HP</v>
      </c>
      <c r="P63" s="30"/>
      <c r="Q63" s="30"/>
      <c r="R63" s="31" t="n">
        <f aca="false">Analysis!F240</f>
        <v>299</v>
      </c>
      <c r="S63" s="31"/>
      <c r="T63" s="31"/>
      <c r="U63" s="31" t="n">
        <f aca="false">Analysis!G240</f>
        <v>325</v>
      </c>
      <c r="V63" s="31"/>
      <c r="W63" s="34" t="n">
        <f aca="false">Analysis!H240</f>
        <v>0.08</v>
      </c>
      <c r="X63" s="34"/>
      <c r="Y63" s="34"/>
      <c r="Z63" s="1"/>
    </row>
    <row r="64" customFormat="false" ht="15" hidden="false" customHeight="false" outlineLevel="0" collapsed="false">
      <c r="A64" s="1"/>
      <c r="B64" s="28" t="n">
        <f aca="false">IF(Analysis!D241="","",Analysis!A241)</f>
        <v>3</v>
      </c>
      <c r="C64" s="28"/>
      <c r="D64" s="29" t="str">
        <f aca="false">Analysis!D241</f>
        <v>لپ تاپ 15.6 اینچی اچ پی مدل Victus 15 FA2013DX i5 13420H 8GB 512GB RTX 3050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 t="str">
        <f aca="false">Analysis!E241</f>
        <v>HP</v>
      </c>
      <c r="P64" s="30"/>
      <c r="Q64" s="30"/>
      <c r="R64" s="31" t="n">
        <f aca="false">Analysis!F241</f>
        <v>229</v>
      </c>
      <c r="S64" s="31"/>
      <c r="T64" s="31"/>
      <c r="U64" s="31" t="n">
        <f aca="false">Analysis!G241</f>
        <v>240</v>
      </c>
      <c r="V64" s="31"/>
      <c r="W64" s="34" t="n">
        <f aca="false">Analysis!H241</f>
        <v>0.0458333333333333</v>
      </c>
      <c r="X64" s="34"/>
      <c r="Y64" s="34"/>
      <c r="Z64" s="1"/>
    </row>
    <row r="65" customFormat="false" ht="15" hidden="false" customHeight="false" outlineLevel="0" collapsed="false">
      <c r="A65" s="1"/>
      <c r="B65" s="28" t="n">
        <f aca="false">IF(Analysis!D242="","",Analysis!A242)</f>
        <v>4</v>
      </c>
      <c r="C65" s="28"/>
      <c r="D65" s="29" t="str">
        <f aca="false">Analysis!D242</f>
        <v>لپ تاپ ام اس آی مدل VenturePro 15 A2RWEG Core 7 240H 16GB 1TB RTX 5050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0" t="str">
        <f aca="false">Analysis!E242</f>
        <v>MSI</v>
      </c>
      <c r="P65" s="30"/>
      <c r="Q65" s="30"/>
      <c r="R65" s="31" t="n">
        <f aca="false">Analysis!F242</f>
        <v>289</v>
      </c>
      <c r="S65" s="31"/>
      <c r="T65" s="31"/>
      <c r="U65" s="31" t="n">
        <f aca="false">Analysis!G242</f>
        <v>300</v>
      </c>
      <c r="V65" s="31"/>
      <c r="W65" s="34" t="n">
        <f aca="false">Analysis!H242</f>
        <v>0.0366666666666667</v>
      </c>
      <c r="X65" s="34"/>
      <c r="Y65" s="34"/>
      <c r="Z65" s="1"/>
    </row>
    <row r="66" customFormat="false" ht="15" hidden="false" customHeight="false" outlineLevel="0" collapsed="false">
      <c r="A66" s="1"/>
      <c r="B66" s="28" t="n">
        <f aca="false">IF(Analysis!D243="","",Analysis!A243)</f>
        <v>5</v>
      </c>
      <c r="C66" s="28"/>
      <c r="D66" s="29" t="str">
        <f aca="false">Analysis!D243</f>
        <v>لپ تاپ اچ پی 15.6 اینچی مدل Victus 15 FA2082WM i5 13420H 16GB 512GB RTX4050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30" t="str">
        <f aca="false">Analysis!E243</f>
        <v>HP</v>
      </c>
      <c r="P66" s="30"/>
      <c r="Q66" s="30"/>
      <c r="R66" s="31" t="n">
        <f aca="false">Analysis!F243</f>
        <v>275</v>
      </c>
      <c r="S66" s="31"/>
      <c r="T66" s="31"/>
      <c r="U66" s="31" t="n">
        <f aca="false">Analysis!G243</f>
        <v>285</v>
      </c>
      <c r="V66" s="31"/>
      <c r="W66" s="34" t="n">
        <f aca="false">Analysis!H243</f>
        <v>0.0350877192982456</v>
      </c>
      <c r="X66" s="34"/>
      <c r="Y66" s="34"/>
      <c r="Z66" s="1"/>
    </row>
    <row r="67" customFormat="false" ht="15" hidden="false" customHeight="false" outlineLevel="0" collapsed="false">
      <c r="A67" s="1"/>
      <c r="B67" s="28" t="n">
        <f aca="false">IF(Analysis!D244="","",Analysis!A244)</f>
        <v>6</v>
      </c>
      <c r="C67" s="28"/>
      <c r="D67" s="29" t="str">
        <f aca="false">Analysis!D244</f>
        <v>لپ تاپ اچ پی 16 اینچی مدل OmniBook 5 Next Gen AI 16 ag1070wm Ryzen AI 7 350 16GB 512GB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 t="str">
        <f aca="false">Analysis!E244</f>
        <v>HP</v>
      </c>
      <c r="P67" s="30"/>
      <c r="Q67" s="30"/>
      <c r="R67" s="31" t="n">
        <f aca="false">Analysis!F244</f>
        <v>215</v>
      </c>
      <c r="S67" s="31"/>
      <c r="T67" s="31"/>
      <c r="U67" s="31" t="n">
        <f aca="false">Analysis!G244</f>
        <v>220</v>
      </c>
      <c r="V67" s="31"/>
      <c r="W67" s="34" t="n">
        <f aca="false">Analysis!H244</f>
        <v>0.0227272727272727</v>
      </c>
      <c r="X67" s="34"/>
      <c r="Y67" s="34"/>
      <c r="Z67" s="1"/>
    </row>
    <row r="68" customFormat="false" ht="15" hidden="false" customHeight="false" outlineLevel="0" collapsed="false">
      <c r="A68" s="1"/>
      <c r="B68" s="28" t="n">
        <f aca="false">IF(Analysis!D245="","",Analysis!A245)</f>
        <v>7</v>
      </c>
      <c r="C68" s="28"/>
      <c r="D68" s="29" t="str">
        <f aca="false">Analysis!D245</f>
        <v>لپ تاپ لنوو 15.6 اینچی مدل IdeaPad Slim 3 i3 1315U 8GB 256GB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 t="str">
        <f aca="false">Analysis!E245</f>
        <v>Lenovo</v>
      </c>
      <c r="P68" s="30"/>
      <c r="Q68" s="30"/>
      <c r="R68" s="31" t="n">
        <f aca="false">Analysis!F245</f>
        <v>117.999</v>
      </c>
      <c r="S68" s="31"/>
      <c r="T68" s="31"/>
      <c r="U68" s="31" t="n">
        <f aca="false">Analysis!G245</f>
        <v>120</v>
      </c>
      <c r="V68" s="31"/>
      <c r="W68" s="34" t="n">
        <f aca="false">Analysis!H245</f>
        <v>0.016675</v>
      </c>
      <c r="X68" s="34"/>
      <c r="Y68" s="34"/>
      <c r="Z68" s="1"/>
    </row>
    <row r="69" customFormat="false" ht="15" hidden="false" customHeight="false" outlineLevel="0" collapsed="false">
      <c r="A69" s="1"/>
      <c r="B69" s="28" t="n">
        <f aca="false">IF(Analysis!D246="","",Analysis!A246)</f>
        <v>8</v>
      </c>
      <c r="C69" s="28"/>
      <c r="D69" s="29" t="str">
        <f aca="false">Analysis!D246</f>
        <v>لپ تاپ لنوو 15.6 اینچی مدل IdeaPad Slim 3 i3 1315U 8GB 512GB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30" t="str">
        <f aca="false">Analysis!E246</f>
        <v>Lenovo</v>
      </c>
      <c r="P69" s="30"/>
      <c r="Q69" s="30"/>
      <c r="R69" s="31" t="n">
        <f aca="false">Analysis!F246</f>
        <v>125.499</v>
      </c>
      <c r="S69" s="31"/>
      <c r="T69" s="31"/>
      <c r="U69" s="31" t="n">
        <f aca="false">Analysis!G246</f>
        <v>126</v>
      </c>
      <c r="V69" s="31"/>
      <c r="W69" s="34" t="n">
        <f aca="false">Analysis!H246</f>
        <v>0.00397619047619048</v>
      </c>
      <c r="X69" s="34"/>
      <c r="Y69" s="34"/>
      <c r="Z69" s="1"/>
    </row>
    <row r="70" customFormat="false" ht="15" hidden="false" customHeight="false" outlineLevel="0" collapsed="false">
      <c r="A70" s="1"/>
      <c r="B70" s="28" t="str">
        <f aca="false">IF(Analysis!D247="","",Analysis!A247)</f>
        <v/>
      </c>
      <c r="C70" s="28"/>
      <c r="D70" s="29" t="str">
        <f aca="false">Analysis!D247</f>
        <v/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30" t="str">
        <f aca="false">Analysis!E247</f>
        <v/>
      </c>
      <c r="P70" s="30"/>
      <c r="Q70" s="30"/>
      <c r="R70" s="31" t="str">
        <f aca="false">Analysis!F247</f>
        <v/>
      </c>
      <c r="S70" s="31"/>
      <c r="T70" s="31"/>
      <c r="U70" s="31" t="str">
        <f aca="false">Analysis!G247</f>
        <v/>
      </c>
      <c r="V70" s="31"/>
      <c r="W70" s="34" t="str">
        <f aca="false">Analysis!H247</f>
        <v/>
      </c>
      <c r="X70" s="34"/>
      <c r="Y70" s="34"/>
      <c r="Z70" s="1"/>
    </row>
    <row r="71" customFormat="false" ht="15" hidden="false" customHeight="false" outlineLevel="0" collapsed="false">
      <c r="A71" s="1"/>
      <c r="B71" s="28" t="str">
        <f aca="false">IF(Analysis!D248="","",Analysis!A248)</f>
        <v/>
      </c>
      <c r="C71" s="28"/>
      <c r="D71" s="29" t="str">
        <f aca="false">Analysis!D248</f>
        <v/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 t="str">
        <f aca="false">Analysis!E248</f>
        <v/>
      </c>
      <c r="P71" s="30"/>
      <c r="Q71" s="30"/>
      <c r="R71" s="31" t="str">
        <f aca="false">Analysis!F248</f>
        <v/>
      </c>
      <c r="S71" s="31"/>
      <c r="T71" s="31"/>
      <c r="U71" s="31" t="str">
        <f aca="false">Analysis!G248</f>
        <v/>
      </c>
      <c r="V71" s="31"/>
      <c r="W71" s="34" t="str">
        <f aca="false">Analysis!H248</f>
        <v/>
      </c>
      <c r="X71" s="34"/>
      <c r="Y71" s="34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9" t="s">
        <v>48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</sheetData>
  <mergeCells count="158">
    <mergeCell ref="B1:Y2"/>
    <mergeCell ref="B3:P3"/>
    <mergeCell ref="Q3:T3"/>
    <mergeCell ref="U3:X3"/>
    <mergeCell ref="B4:Y4"/>
    <mergeCell ref="B6:E6"/>
    <mergeCell ref="G6:J6"/>
    <mergeCell ref="L6:O6"/>
    <mergeCell ref="Q6:T6"/>
    <mergeCell ref="V6:Y6"/>
    <mergeCell ref="B7:E8"/>
    <mergeCell ref="G7:J8"/>
    <mergeCell ref="L7:O8"/>
    <mergeCell ref="Q7:T8"/>
    <mergeCell ref="V7:Y8"/>
    <mergeCell ref="B9:E9"/>
    <mergeCell ref="G9:J9"/>
    <mergeCell ref="L9:O9"/>
    <mergeCell ref="Q9:T9"/>
    <mergeCell ref="V9:Y9"/>
    <mergeCell ref="B11:Y11"/>
    <mergeCell ref="B12:C12"/>
    <mergeCell ref="D12:N12"/>
    <mergeCell ref="O12:Q12"/>
    <mergeCell ref="R12:T12"/>
    <mergeCell ref="U12:V12"/>
    <mergeCell ref="W12:Y12"/>
    <mergeCell ref="B13:C13"/>
    <mergeCell ref="D13:N13"/>
    <mergeCell ref="O13:Q13"/>
    <mergeCell ref="R13:T13"/>
    <mergeCell ref="U13:V13"/>
    <mergeCell ref="W13:Y13"/>
    <mergeCell ref="B14:C14"/>
    <mergeCell ref="D14:N14"/>
    <mergeCell ref="O14:Q14"/>
    <mergeCell ref="R14:T14"/>
    <mergeCell ref="U14:V14"/>
    <mergeCell ref="W14:Y14"/>
    <mergeCell ref="B15:C15"/>
    <mergeCell ref="D15:N15"/>
    <mergeCell ref="O15:Q15"/>
    <mergeCell ref="R15:T15"/>
    <mergeCell ref="U15:V15"/>
    <mergeCell ref="W15:Y15"/>
    <mergeCell ref="B16:C16"/>
    <mergeCell ref="D16:N16"/>
    <mergeCell ref="O16:Q16"/>
    <mergeCell ref="R16:T16"/>
    <mergeCell ref="U16:V16"/>
    <mergeCell ref="W16:Y16"/>
    <mergeCell ref="B17:C17"/>
    <mergeCell ref="D17:N17"/>
    <mergeCell ref="O17:Q17"/>
    <mergeCell ref="R17:T17"/>
    <mergeCell ref="U17:V17"/>
    <mergeCell ref="W17:Y17"/>
    <mergeCell ref="B18:C18"/>
    <mergeCell ref="D18:N18"/>
    <mergeCell ref="O18:Q18"/>
    <mergeCell ref="R18:T18"/>
    <mergeCell ref="U18:V18"/>
    <mergeCell ref="W18:Y18"/>
    <mergeCell ref="B19:C19"/>
    <mergeCell ref="D19:N19"/>
    <mergeCell ref="O19:Q19"/>
    <mergeCell ref="R19:T19"/>
    <mergeCell ref="U19:V19"/>
    <mergeCell ref="W19:Y19"/>
    <mergeCell ref="B20:C20"/>
    <mergeCell ref="D20:N20"/>
    <mergeCell ref="O20:Q20"/>
    <mergeCell ref="R20:T20"/>
    <mergeCell ref="U20:V20"/>
    <mergeCell ref="W20:Y20"/>
    <mergeCell ref="B21:C21"/>
    <mergeCell ref="D21:N21"/>
    <mergeCell ref="O21:Q21"/>
    <mergeCell ref="R21:T21"/>
    <mergeCell ref="U21:V21"/>
    <mergeCell ref="W21:Y21"/>
    <mergeCell ref="B22:C22"/>
    <mergeCell ref="D22:N22"/>
    <mergeCell ref="O22:Q22"/>
    <mergeCell ref="R22:T22"/>
    <mergeCell ref="U22:V22"/>
    <mergeCell ref="W22:Y22"/>
    <mergeCell ref="B24:Y24"/>
    <mergeCell ref="B42:Y42"/>
    <mergeCell ref="N43:Y58"/>
    <mergeCell ref="B60:Y60"/>
    <mergeCell ref="B61:C61"/>
    <mergeCell ref="D61:N61"/>
    <mergeCell ref="O61:Q61"/>
    <mergeCell ref="R61:T61"/>
    <mergeCell ref="U61:V61"/>
    <mergeCell ref="W61:Y61"/>
    <mergeCell ref="B62:C62"/>
    <mergeCell ref="D62:N62"/>
    <mergeCell ref="O62:Q62"/>
    <mergeCell ref="R62:T62"/>
    <mergeCell ref="U62:V62"/>
    <mergeCell ref="W62:Y62"/>
    <mergeCell ref="B63:C63"/>
    <mergeCell ref="D63:N63"/>
    <mergeCell ref="O63:Q63"/>
    <mergeCell ref="R63:T63"/>
    <mergeCell ref="U63:V63"/>
    <mergeCell ref="W63:Y63"/>
    <mergeCell ref="B64:C64"/>
    <mergeCell ref="D64:N64"/>
    <mergeCell ref="O64:Q64"/>
    <mergeCell ref="R64:T64"/>
    <mergeCell ref="U64:V64"/>
    <mergeCell ref="W64:Y64"/>
    <mergeCell ref="B65:C65"/>
    <mergeCell ref="D65:N65"/>
    <mergeCell ref="O65:Q65"/>
    <mergeCell ref="R65:T65"/>
    <mergeCell ref="U65:V65"/>
    <mergeCell ref="W65:Y65"/>
    <mergeCell ref="B66:C66"/>
    <mergeCell ref="D66:N66"/>
    <mergeCell ref="O66:Q66"/>
    <mergeCell ref="R66:T66"/>
    <mergeCell ref="U66:V66"/>
    <mergeCell ref="W66:Y66"/>
    <mergeCell ref="B67:C67"/>
    <mergeCell ref="D67:N67"/>
    <mergeCell ref="O67:Q67"/>
    <mergeCell ref="R67:T67"/>
    <mergeCell ref="U67:V67"/>
    <mergeCell ref="W67:Y67"/>
    <mergeCell ref="B68:C68"/>
    <mergeCell ref="D68:N68"/>
    <mergeCell ref="O68:Q68"/>
    <mergeCell ref="R68:T68"/>
    <mergeCell ref="U68:V68"/>
    <mergeCell ref="W68:Y68"/>
    <mergeCell ref="B69:C69"/>
    <mergeCell ref="D69:N69"/>
    <mergeCell ref="O69:Q69"/>
    <mergeCell ref="R69:T69"/>
    <mergeCell ref="U69:V69"/>
    <mergeCell ref="W69:Y69"/>
    <mergeCell ref="B70:C70"/>
    <mergeCell ref="D70:N70"/>
    <mergeCell ref="O70:Q70"/>
    <mergeCell ref="R70:T70"/>
    <mergeCell ref="U70:V70"/>
    <mergeCell ref="W70:Y70"/>
    <mergeCell ref="B71:C71"/>
    <mergeCell ref="D71:N71"/>
    <mergeCell ref="O71:Q71"/>
    <mergeCell ref="R71:T71"/>
    <mergeCell ref="U71:V71"/>
    <mergeCell ref="W71:Y71"/>
    <mergeCell ref="B73:Y73"/>
  </mergeCells>
  <conditionalFormatting sqref="U13:V22">
    <cfRule type="dataBar" priority="2">
      <dataBar showValue="1" minLength="10" maxLength="90">
        <cfvo type="num" val="0"/>
        <cfvo type="num" val="5"/>
        <color rgb="FFE9C46A"/>
      </dataBar>
      <extLst>
        <ext xmlns:x14="http://schemas.microsoft.com/office/spreadsheetml/2009/9/main" uri="{B025F937-C7B1-47D3-B67F-A62EFF666E3E}">
          <x14:id>{43B18588-6552-44B7-A2A2-1E2DE0B96E5F}</x14:id>
        </ext>
      </extLst>
    </cfRule>
  </conditionalFormatting>
  <conditionalFormatting sqref="W62:Y71">
    <cfRule type="dataBar" priority="3">
      <dataBar showValue="1" minLength="10" maxLength="90">
        <cfvo type="num" val="0"/>
        <cfvo type="num" val="0.3"/>
        <color rgb="FFE76F51"/>
      </dataBar>
      <extLst>
        <ext xmlns:x14="http://schemas.microsoft.com/office/spreadsheetml/2009/9/main" uri="{B025F937-C7B1-47D3-B67F-A62EFF666E3E}">
          <x14:id>{FAC4C7F5-E065-479A-B14F-F4B6473C20AB}</x14:id>
        </ext>
      </extLst>
    </cfRule>
  </conditionalFormatting>
  <hyperlinks>
    <hyperlink ref="Q3" r:id="rId1" location="'Dashboard'!A1" display="Overview →"/>
    <hyperlink ref="U3" r:id="rId2" location="'Specs'!A1" display="Specs &amp; value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18588-6552-44B7-A2A2-1E2DE0B96E5F}">
            <x14:dataBar minLength="10" maxLength="90" axisPosition="none" gradient="true">
              <x14:cfvo type="num">
                <xm:f>0</xm:f>
              </x14:cfvo>
              <x14:cfvo type="num">
                <xm:f>5</xm:f>
              </x14:cfvo>
              <x14:negativeFillColor rgb="FFE9C46A"/>
              <x14:axisColor rgb="FF000000"/>
            </x14:dataBar>
          </x14:cfRule>
          <xm:sqref>U13:V22</xm:sqref>
        </x14:conditionalFormatting>
        <x14:conditionalFormatting xmlns:xm="http://schemas.microsoft.com/office/excel/2006/main">
          <x14:cfRule type="dataBar" id="{FAC4C7F5-E065-479A-B14F-F4B6473C20AB}">
            <x14:dataBar minLength="10" maxLength="90" axisPosition="none" gradient="true">
              <x14:cfvo type="num">
                <xm:f>0</xm:f>
              </x14:cfvo>
              <x14:cfvo type="num">
                <xm:f>0.3</xm:f>
              </x14:cfvo>
              <x14:negativeFillColor rgb="FFE76F51"/>
              <x14:axisColor rgb="FF000000"/>
            </x14:dataBar>
          </x14:cfRule>
          <xm:sqref>W62:Y71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99AE"/>
    <pageSetUpPr fitToPage="false"/>
  </sheetPr>
  <dimension ref="A1:L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12" min="5" style="0" width="16"/>
  </cols>
  <sheetData>
    <row r="1" customFormat="false" ht="17.35" hidden="false" customHeight="false" outlineLevel="0" collapsed="false">
      <c r="A1" s="35" t="s">
        <v>49</v>
      </c>
    </row>
    <row r="3" customFormat="false" ht="15" hidden="false" customHeight="false" outlineLevel="0" collapsed="false">
      <c r="A3" s="36" t="s">
        <v>50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customFormat="false" ht="15" hidden="false" customHeight="false" outlineLevel="0" collapsed="false">
      <c r="A4" s="38" t="s">
        <v>51</v>
      </c>
      <c r="B4" s="38" t="s">
        <v>52</v>
      </c>
      <c r="C4" s="37"/>
      <c r="D4" s="37"/>
      <c r="E4" s="37"/>
      <c r="F4" s="37"/>
      <c r="G4" s="37"/>
      <c r="H4" s="37"/>
      <c r="I4" s="37"/>
      <c r="J4" s="37"/>
      <c r="K4" s="37"/>
      <c r="L4" s="37"/>
    </row>
    <row r="5" customFormat="false" ht="15" hidden="false" customHeight="false" outlineLevel="0" collapsed="false">
      <c r="A5" s="37" t="s">
        <v>53</v>
      </c>
      <c r="B5" s="39" t="n">
        <f aca="false">SUM(Clean!$AE$2:$AE$101)</f>
        <v>99</v>
      </c>
      <c r="C5" s="37"/>
      <c r="D5" s="37"/>
      <c r="E5" s="37"/>
      <c r="F5" s="37"/>
      <c r="G5" s="37"/>
      <c r="H5" s="37"/>
      <c r="I5" s="37"/>
      <c r="J5" s="37"/>
      <c r="K5" s="37"/>
      <c r="L5" s="37"/>
    </row>
    <row r="6" customFormat="false" ht="15" hidden="false" customHeight="false" outlineLevel="0" collapsed="false">
      <c r="A6" s="37" t="s">
        <v>54</v>
      </c>
      <c r="B6" s="39" t="n">
        <f aca="false">SUM(Clean!$AF$2:$AF$101)</f>
        <v>99</v>
      </c>
      <c r="C6" s="37"/>
      <c r="D6" s="37"/>
      <c r="E6" s="37"/>
      <c r="F6" s="37"/>
      <c r="G6" s="37"/>
      <c r="H6" s="37"/>
      <c r="I6" s="37"/>
      <c r="J6" s="37"/>
      <c r="K6" s="37"/>
      <c r="L6" s="37"/>
    </row>
    <row r="7" customFormat="false" ht="15" hidden="false" customHeight="false" outlineLevel="0" collapsed="false">
      <c r="A7" s="37" t="s">
        <v>55</v>
      </c>
      <c r="B7" s="40" t="n">
        <f aca="false">IFERROR(MEDIAN(Clean!$AH$2:$AH$101),0)</f>
        <v>215.5</v>
      </c>
      <c r="C7" s="37"/>
      <c r="D7" s="37"/>
      <c r="E7" s="37"/>
      <c r="F7" s="37"/>
      <c r="G7" s="37"/>
      <c r="H7" s="37"/>
      <c r="I7" s="37"/>
      <c r="J7" s="37"/>
      <c r="K7" s="37"/>
      <c r="L7" s="37"/>
    </row>
    <row r="8" customFormat="false" ht="15" hidden="false" customHeight="false" outlineLevel="0" collapsed="false">
      <c r="A8" s="37" t="s">
        <v>56</v>
      </c>
      <c r="B8" s="40" t="n">
        <f aca="false">IFERROR(AVERAGEIFS(Clean!$G$2:$G$101,Clean!$AF$2:$AF$101,1),0)</f>
        <v>237.775636363636</v>
      </c>
      <c r="C8" s="37"/>
      <c r="D8" s="37"/>
      <c r="E8" s="37"/>
      <c r="F8" s="37"/>
      <c r="G8" s="37"/>
      <c r="H8" s="37"/>
      <c r="I8" s="37"/>
      <c r="J8" s="37"/>
      <c r="K8" s="37"/>
      <c r="L8" s="37"/>
    </row>
    <row r="9" customFormat="false" ht="15" hidden="false" customHeight="false" outlineLevel="0" collapsed="false">
      <c r="A9" s="37" t="s">
        <v>57</v>
      </c>
      <c r="B9" s="40" t="n">
        <f aca="false">IFERROR(QUARTILE(Clean!$AH$2:$AH$101,1),0)</f>
        <v>155.9</v>
      </c>
      <c r="C9" s="37"/>
      <c r="D9" s="37"/>
      <c r="E9" s="37"/>
      <c r="F9" s="37"/>
      <c r="G9" s="37"/>
      <c r="H9" s="37"/>
      <c r="I9" s="37"/>
      <c r="J9" s="37"/>
      <c r="K9" s="37"/>
      <c r="L9" s="37"/>
    </row>
    <row r="10" customFormat="false" ht="15" hidden="false" customHeight="false" outlineLevel="0" collapsed="false">
      <c r="A10" s="37" t="s">
        <v>58</v>
      </c>
      <c r="B10" s="40" t="n">
        <f aca="false">IFERROR(QUARTILE(Clean!$AH$2:$AH$101,3),0)</f>
        <v>297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customFormat="false" ht="15" hidden="false" customHeight="false" outlineLevel="0" collapsed="false">
      <c r="A11" s="37" t="s">
        <v>59</v>
      </c>
      <c r="B11" s="41" t="n">
        <f aca="false">IFERROR(AVERAGEIFS(Clean!$K$2:$K$101,Clean!$AG$2:$AG$101,1),0)</f>
        <v>4.47979797979798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customFormat="false" ht="15" hidden="false" customHeight="false" outlineLevel="0" collapsed="false">
      <c r="A12" s="37" t="s">
        <v>60</v>
      </c>
      <c r="B12" s="41" t="n">
        <f aca="false">IFERROR(SUMPRODUCT(Clean!$AG$2:$AG$101,Clean!$K$2:$K$101,Clean!$L$2:$L$101)/SUMPRODUCT(Clean!$AG$2:$AG$101,Clean!$L$2:$L$101),0)</f>
        <v>4.17834862385321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3" customFormat="false" ht="15" hidden="false" customHeight="false" outlineLevel="0" collapsed="false">
      <c r="A13" s="37" t="s">
        <v>61</v>
      </c>
      <c r="B13" s="42" t="n">
        <f aca="false">IFERROR(SUMIFS(Clean!$J$2:$J$101,Clean!$AE$2:$AE$101,1)/B5,0)</f>
        <v>0.0808080808080808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customFormat="false" ht="15" hidden="false" customHeight="false" outlineLevel="0" collapsed="false">
      <c r="A14" s="37" t="s">
        <v>62</v>
      </c>
      <c r="B14" s="39" t="n">
        <f aca="false">SUMIFS(Clean!$J$2:$J$101,Clean!$AE$2:$AE$101,1)</f>
        <v>8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customFormat="false" ht="15" hidden="false" customHeight="false" outlineLevel="0" collapsed="false">
      <c r="A15" s="37" t="s">
        <v>63</v>
      </c>
      <c r="B15" s="42" t="n">
        <f aca="false">IFERROR(AVERAGEIFS(Clean!$I$2:$I$101,Clean!$AE$2:$AE$101,1,Clean!$J$2:$J$101,1),0)</f>
        <v>0.0441432087101495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customFormat="false" ht="15" hidden="false" customHeight="false" outlineLevel="0" collapsed="false">
      <c r="A16" s="37" t="s">
        <v>64</v>
      </c>
      <c r="B16" s="43" t="n">
        <f aca="false">SUMIFS(Clean!$L$2:$L$101,Clean!$AE$2:$AE$101,1)</f>
        <v>1090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customFormat="false" ht="15" hidden="false" customHeight="false" outlineLevel="0" collapsed="false">
      <c r="A17" s="37" t="s">
        <v>65</v>
      </c>
      <c r="B17" s="42" t="n">
        <f aca="false">IFERROR(COUNTIFS(Clean!$Z$2:$Z$101,"Dedicated",Clean!$AE$2:$AE$101,1)/B5,0)</f>
        <v>0.333333333333333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customFormat="false" ht="15" hidden="false" customHeight="false" outlineLevel="0" collapsed="false">
      <c r="A18" s="37" t="s">
        <v>66</v>
      </c>
      <c r="B18" s="39" t="n">
        <f aca="false">SUM(Clean!$AQ$2:$AQ$101)</f>
        <v>99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customFormat="false" ht="15" hidden="false" customHeight="false" outlineLevel="0" collapsed="false">
      <c r="A19" s="37" t="s">
        <v>67</v>
      </c>
      <c r="B19" s="41" t="n">
        <f aca="false">IF(B18&lt;3,"n/a",IFERROR((B18*SUMPRODUCT(Clean!$AS$2:$AS$101,Clean!$AT$2:$AT$101)-SUM(Clean!$AS$2:$AS$101)*SUM(Clean!$AT$2:$AT$101))/SQRT((B18*SUMPRODUCT(Clean!$AS$2:$AS$101,Clean!$AS$2:$AS$101)-SUM(Clean!$AS$2:$AS$101)^2)*(B18*SUMPRODUCT(Clean!$AT$2:$AT$101,Clean!$AT$2:$AT$101)-SUM(Clean!$AT$2:$AT$101)^2)),"n/a"))</f>
        <v>0.239049935546848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customFormat="false" ht="15" hidden="false" customHeight="fals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customFormat="false" ht="15" hidden="false" customHeight="false" outlineLevel="0" collapsed="false">
      <c r="A21" s="36" t="s">
        <v>68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customFormat="false" ht="15" hidden="false" customHeight="false" outlineLevel="0" collapsed="false">
      <c r="A22" s="38" t="s">
        <v>69</v>
      </c>
      <c r="B22" s="38" t="s">
        <v>70</v>
      </c>
      <c r="C22" s="38" t="s">
        <v>71</v>
      </c>
      <c r="D22" s="38" t="s">
        <v>72</v>
      </c>
      <c r="E22" s="38" t="s">
        <v>73</v>
      </c>
      <c r="F22" s="38" t="s">
        <v>74</v>
      </c>
      <c r="G22" s="37"/>
      <c r="H22" s="38" t="s">
        <v>75</v>
      </c>
      <c r="I22" s="38" t="s">
        <v>70</v>
      </c>
      <c r="J22" s="38" t="s">
        <v>71</v>
      </c>
      <c r="K22" s="38" t="s">
        <v>72</v>
      </c>
      <c r="L22" s="38" t="s">
        <v>73</v>
      </c>
    </row>
    <row r="23" customFormat="false" ht="15" hidden="false" customHeight="false" outlineLevel="0" collapsed="false">
      <c r="A23" s="37" t="n">
        <v>1</v>
      </c>
      <c r="B23" s="37" t="str">
        <f aca="false">Params!J6</f>
        <v>Lenovo</v>
      </c>
      <c r="C23" s="37" t="n">
        <f aca="false">COUNTIFS(Clean!$D$2:$D$101,B23,Clean!$AE$2:$AE$101,1)</f>
        <v>28</v>
      </c>
      <c r="D23" s="40" t="n">
        <f aca="false">IFERROR(AVERAGEIFS(Clean!$G$2:$G$101,Clean!$D$2:$D$101,B23,Clean!$AF$2:$AF$101,1),0)</f>
        <v>209.160642857143</v>
      </c>
      <c r="E23" s="41" t="n">
        <f aca="false">IFERROR(SUMPRODUCT((Clean!$D$2:$D$101=B23)*Clean!$AG$2:$AG$101*Clean!$K$2:$K$101*Clean!$L$2:$L$101)/SUMPRODUCT((Clean!$D$2:$D$101=B23)*Clean!$AG$2:$AG$101*Clean!$L$2:$L$101),0)</f>
        <v>3.99613636363636</v>
      </c>
      <c r="F23" s="44" t="n">
        <f aca="false">C23+(9-A23)/1000</f>
        <v>28.008</v>
      </c>
      <c r="G23" s="37"/>
      <c r="H23" s="37" t="n">
        <v>1</v>
      </c>
      <c r="I23" s="37" t="str">
        <f aca="false">INDEX($B$23:$B$30,MATCH(LARGE($F$23:$F$30,H23),$F$23:$F$30,0))</f>
        <v>ASUS</v>
      </c>
      <c r="J23" s="37" t="n">
        <f aca="false">INDEX($C$23:$C$30,MATCH(I23,$B$23:$B$30,0))</f>
        <v>44</v>
      </c>
      <c r="K23" s="40" t="n">
        <f aca="false">INDEX($D$23:$D$30,MATCH(I23,$B$23:$B$30,0))</f>
        <v>234.572727272727</v>
      </c>
      <c r="L23" s="41" t="n">
        <f aca="false">INDEX($E$23:$E$30,MATCH(I23,$B$23:$B$30,0))</f>
        <v>4.26808988764045</v>
      </c>
    </row>
    <row r="24" customFormat="false" ht="15" hidden="false" customHeight="false" outlineLevel="0" collapsed="false">
      <c r="A24" s="37" t="n">
        <v>2</v>
      </c>
      <c r="B24" s="37" t="str">
        <f aca="false">Params!J7</f>
        <v>MSI</v>
      </c>
      <c r="C24" s="37" t="n">
        <f aca="false">COUNTIFS(Clean!$D$2:$D$101,B24,Clean!$AE$2:$AE$101,1)</f>
        <v>5</v>
      </c>
      <c r="D24" s="40" t="n">
        <f aca="false">IFERROR(AVERAGEIFS(Clean!$G$2:$G$101,Clean!$D$2:$D$101,B24,Clean!$AF$2:$AF$101,1),0)</f>
        <v>376.1</v>
      </c>
      <c r="E24" s="41" t="n">
        <f aca="false">IFERROR(SUMPRODUCT((Clean!$D$2:$D$101=B24)*Clean!$AG$2:$AG$101*Clean!$K$2:$K$101*Clean!$L$2:$L$101)/SUMPRODUCT((Clean!$D$2:$D$101=B24)*Clean!$AG$2:$AG$101*Clean!$L$2:$L$101),0)</f>
        <v>4.65555555555556</v>
      </c>
      <c r="F24" s="44" t="n">
        <f aca="false">C24+(9-A24)/1000</f>
        <v>5.007</v>
      </c>
      <c r="G24" s="37"/>
      <c r="H24" s="37" t="n">
        <v>2</v>
      </c>
      <c r="I24" s="37" t="str">
        <f aca="false">INDEX($B$23:$B$30,MATCH(LARGE($F$23:$F$30,H24),$F$23:$F$30,0))</f>
        <v>Lenovo</v>
      </c>
      <c r="J24" s="37" t="n">
        <f aca="false">INDEX($C$23:$C$30,MATCH(I24,$B$23:$B$30,0))</f>
        <v>28</v>
      </c>
      <c r="K24" s="40" t="n">
        <f aca="false">INDEX($D$23:$D$30,MATCH(I24,$B$23:$B$30,0))</f>
        <v>209.160642857143</v>
      </c>
      <c r="L24" s="41" t="n">
        <f aca="false">INDEX($E$23:$E$30,MATCH(I24,$B$23:$B$30,0))</f>
        <v>3.99613636363636</v>
      </c>
    </row>
    <row r="25" customFormat="false" ht="15" hidden="false" customHeight="false" outlineLevel="0" collapsed="false">
      <c r="A25" s="37" t="n">
        <v>3</v>
      </c>
      <c r="B25" s="37" t="str">
        <f aca="false">Params!J8</f>
        <v>ASUS</v>
      </c>
      <c r="C25" s="37" t="n">
        <f aca="false">COUNTIFS(Clean!$D$2:$D$101,B25,Clean!$AE$2:$AE$101,1)</f>
        <v>44</v>
      </c>
      <c r="D25" s="40" t="n">
        <f aca="false">IFERROR(AVERAGEIFS(Clean!$G$2:$G$101,Clean!$D$2:$D$101,B25,Clean!$AF$2:$AF$101,1),0)</f>
        <v>234.572727272727</v>
      </c>
      <c r="E25" s="41" t="n">
        <f aca="false">IFERROR(SUMPRODUCT((Clean!$D$2:$D$101=B25)*Clean!$AG$2:$AG$101*Clean!$K$2:$K$101*Clean!$L$2:$L$101)/SUMPRODUCT((Clean!$D$2:$D$101=B25)*Clean!$AG$2:$AG$101*Clean!$L$2:$L$101),0)</f>
        <v>4.26808988764045</v>
      </c>
      <c r="F25" s="44" t="n">
        <f aca="false">C25+(9-A25)/1000</f>
        <v>44.006</v>
      </c>
      <c r="G25" s="37"/>
      <c r="H25" s="37" t="n">
        <v>3</v>
      </c>
      <c r="I25" s="37" t="str">
        <f aca="false">INDEX($B$23:$B$30,MATCH(LARGE($F$23:$F$30,H25),$F$23:$F$30,0))</f>
        <v>HP</v>
      </c>
      <c r="J25" s="37" t="n">
        <f aca="false">INDEX($C$23:$C$30,MATCH(I25,$B$23:$B$30,0))</f>
        <v>14</v>
      </c>
      <c r="K25" s="40" t="n">
        <f aca="false">INDEX($D$23:$D$30,MATCH(I25,$B$23:$B$30,0))</f>
        <v>250.892857142857</v>
      </c>
      <c r="L25" s="41" t="n">
        <f aca="false">INDEX($E$23:$E$30,MATCH(I25,$B$23:$B$30,0))</f>
        <v>4.33028571428571</v>
      </c>
    </row>
    <row r="26" customFormat="false" ht="15" hidden="false" customHeight="false" outlineLevel="0" collapsed="false">
      <c r="A26" s="37" t="n">
        <v>4</v>
      </c>
      <c r="B26" s="37" t="str">
        <f aca="false">Params!J9</f>
        <v>HP</v>
      </c>
      <c r="C26" s="37" t="n">
        <f aca="false">COUNTIFS(Clean!$D$2:$D$101,B26,Clean!$AE$2:$AE$101,1)</f>
        <v>14</v>
      </c>
      <c r="D26" s="40" t="n">
        <f aca="false">IFERROR(AVERAGEIFS(Clean!$G$2:$G$101,Clean!$D$2:$D$101,B26,Clean!$AF$2:$AF$101,1),0)</f>
        <v>250.892857142857</v>
      </c>
      <c r="E26" s="41" t="n">
        <f aca="false">IFERROR(SUMPRODUCT((Clean!$D$2:$D$101=B26)*Clean!$AG$2:$AG$101*Clean!$K$2:$K$101*Clean!$L$2:$L$101)/SUMPRODUCT((Clean!$D$2:$D$101=B26)*Clean!$AG$2:$AG$101*Clean!$L$2:$L$101),0)</f>
        <v>4.33028571428571</v>
      </c>
      <c r="F26" s="44" t="n">
        <f aca="false">C26+(9-A26)/1000</f>
        <v>14.005</v>
      </c>
      <c r="G26" s="37"/>
      <c r="H26" s="37" t="n">
        <v>4</v>
      </c>
      <c r="I26" s="37" t="str">
        <f aca="false">INDEX($B$23:$B$30,MATCH(LARGE($F$23:$F$30,H26),$F$23:$F$30,0))</f>
        <v>MSI</v>
      </c>
      <c r="J26" s="37" t="n">
        <f aca="false">INDEX($C$23:$C$30,MATCH(I26,$B$23:$B$30,0))</f>
        <v>5</v>
      </c>
      <c r="K26" s="40" t="n">
        <f aca="false">INDEX($D$23:$D$30,MATCH(I26,$B$23:$B$30,0))</f>
        <v>376.1</v>
      </c>
      <c r="L26" s="41" t="n">
        <f aca="false">INDEX($E$23:$E$30,MATCH(I26,$B$23:$B$30,0))</f>
        <v>4.65555555555556</v>
      </c>
    </row>
    <row r="27" customFormat="false" ht="15" hidden="false" customHeight="false" outlineLevel="0" collapsed="false">
      <c r="A27" s="37" t="n">
        <v>5</v>
      </c>
      <c r="B27" s="37" t="str">
        <f aca="false">Params!J10</f>
        <v>Apple</v>
      </c>
      <c r="C27" s="37" t="n">
        <f aca="false">COUNTIFS(Clean!$D$2:$D$101,B27,Clean!$AE$2:$AE$101,1)</f>
        <v>4</v>
      </c>
      <c r="D27" s="40" t="n">
        <f aca="false">IFERROR(AVERAGEIFS(Clean!$G$2:$G$101,Clean!$D$2:$D$101,B27,Clean!$AF$2:$AF$101,1),0)</f>
        <v>325.8475</v>
      </c>
      <c r="E27" s="41" t="n">
        <f aca="false">IFERROR(SUMPRODUCT((Clean!$D$2:$D$101=B27)*Clean!$AG$2:$AG$101*Clean!$K$2:$K$101*Clean!$L$2:$L$101)/SUMPRODUCT((Clean!$D$2:$D$101=B27)*Clean!$AG$2:$AG$101*Clean!$L$2:$L$101),0)</f>
        <v>4.59411764705882</v>
      </c>
      <c r="F27" s="44" t="n">
        <f aca="false">C27+(9-A27)/1000</f>
        <v>4.004</v>
      </c>
      <c r="G27" s="37"/>
      <c r="H27" s="37" t="n">
        <v>5</v>
      </c>
      <c r="I27" s="37" t="str">
        <f aca="false">INDEX($B$23:$B$30,MATCH(LARGE($F$23:$F$30,H27),$F$23:$F$30,0))</f>
        <v>Apple</v>
      </c>
      <c r="J27" s="37" t="n">
        <f aca="false">INDEX($C$23:$C$30,MATCH(I27,$B$23:$B$30,0))</f>
        <v>4</v>
      </c>
      <c r="K27" s="40" t="n">
        <f aca="false">INDEX($D$23:$D$30,MATCH(I27,$B$23:$B$30,0))</f>
        <v>325.8475</v>
      </c>
      <c r="L27" s="41" t="n">
        <f aca="false">INDEX($E$23:$E$30,MATCH(I27,$B$23:$B$30,0))</f>
        <v>4.59411764705882</v>
      </c>
    </row>
    <row r="28" customFormat="false" ht="15" hidden="false" customHeight="false" outlineLevel="0" collapsed="false">
      <c r="A28" s="37" t="n">
        <v>6</v>
      </c>
      <c r="B28" s="37" t="str">
        <f aca="false">Params!J11</f>
        <v>Samsung</v>
      </c>
      <c r="C28" s="37" t="n">
        <f aca="false">COUNTIFS(Clean!$D$2:$D$101,B28,Clean!$AE$2:$AE$101,1)</f>
        <v>0</v>
      </c>
      <c r="D28" s="40" t="n">
        <f aca="false">IFERROR(AVERAGEIFS(Clean!$G$2:$G$101,Clean!$D$2:$D$101,B28,Clean!$AF$2:$AF$101,1),0)</f>
        <v>0</v>
      </c>
      <c r="E28" s="41" t="n">
        <f aca="false">IFERROR(SUMPRODUCT((Clean!$D$2:$D$101=B28)*Clean!$AG$2:$AG$101*Clean!$K$2:$K$101*Clean!$L$2:$L$101)/SUMPRODUCT((Clean!$D$2:$D$101=B28)*Clean!$AG$2:$AG$101*Clean!$L$2:$L$101),0)</f>
        <v>0</v>
      </c>
      <c r="F28" s="44" t="n">
        <f aca="false">C28+(9-A28)/1000</f>
        <v>0.003</v>
      </c>
      <c r="G28" s="37"/>
      <c r="H28" s="37" t="n">
        <v>6</v>
      </c>
      <c r="I28" s="37" t="str">
        <f aca="false">INDEX($B$23:$B$30,MATCH(LARGE($F$23:$F$30,H28),$F$23:$F$30,0))</f>
        <v>Acer</v>
      </c>
      <c r="J28" s="37" t="n">
        <f aca="false">INDEX($C$23:$C$30,MATCH(I28,$B$23:$B$30,0))</f>
        <v>2</v>
      </c>
      <c r="K28" s="40" t="n">
        <f aca="false">INDEX($D$23:$D$30,MATCH(I28,$B$23:$B$30,0))</f>
        <v>152.6</v>
      </c>
      <c r="L28" s="41" t="n">
        <f aca="false">INDEX($E$23:$E$30,MATCH(I28,$B$23:$B$30,0))</f>
        <v>5</v>
      </c>
    </row>
    <row r="29" customFormat="false" ht="15" hidden="false" customHeight="false" outlineLevel="0" collapsed="false">
      <c r="A29" s="37" t="n">
        <v>7</v>
      </c>
      <c r="B29" s="37" t="str">
        <f aca="false">Params!J12</f>
        <v>Acer</v>
      </c>
      <c r="C29" s="37" t="n">
        <f aca="false">COUNTIFS(Clean!$D$2:$D$101,B29,Clean!$AE$2:$AE$101,1)</f>
        <v>2</v>
      </c>
      <c r="D29" s="40" t="n">
        <f aca="false">IFERROR(AVERAGEIFS(Clean!$G$2:$G$101,Clean!$D$2:$D$101,B29,Clean!$AF$2:$AF$101,1),0)</f>
        <v>152.6</v>
      </c>
      <c r="E29" s="41" t="n">
        <f aca="false">IFERROR(SUMPRODUCT((Clean!$D$2:$D$101=B29)*Clean!$AG$2:$AG$101*Clean!$K$2:$K$101*Clean!$L$2:$L$101)/SUMPRODUCT((Clean!$D$2:$D$101=B29)*Clean!$AG$2:$AG$101*Clean!$L$2:$L$101),0)</f>
        <v>5</v>
      </c>
      <c r="F29" s="44" t="n">
        <f aca="false">C29+(9-A29)/1000</f>
        <v>2.002</v>
      </c>
      <c r="G29" s="37"/>
      <c r="H29" s="37" t="n">
        <v>7</v>
      </c>
      <c r="I29" s="37" t="str">
        <f aca="false">INDEX($B$23:$B$30,MATCH(LARGE($F$23:$F$30,H29),$F$23:$F$30,0))</f>
        <v>Dell</v>
      </c>
      <c r="J29" s="37" t="n">
        <f aca="false">INDEX($C$23:$C$30,MATCH(I29,$B$23:$B$30,0))</f>
        <v>2</v>
      </c>
      <c r="K29" s="40" t="n">
        <f aca="false">INDEX($D$23:$D$30,MATCH(I29,$B$23:$B$30,0))</f>
        <v>180.25</v>
      </c>
      <c r="L29" s="41" t="n">
        <f aca="false">INDEX($E$23:$E$30,MATCH(I29,$B$23:$B$30,0))</f>
        <v>4.5</v>
      </c>
    </row>
    <row r="30" customFormat="false" ht="15" hidden="false" customHeight="false" outlineLevel="0" collapsed="false">
      <c r="A30" s="37" t="n">
        <v>8</v>
      </c>
      <c r="B30" s="37" t="str">
        <f aca="false">Params!J13</f>
        <v>Dell</v>
      </c>
      <c r="C30" s="37" t="n">
        <f aca="false">COUNTIFS(Clean!$D$2:$D$101,B30,Clean!$AE$2:$AE$101,1)</f>
        <v>2</v>
      </c>
      <c r="D30" s="40" t="n">
        <f aca="false">IFERROR(AVERAGEIFS(Clean!$G$2:$G$101,Clean!$D$2:$D$101,B30,Clean!$AF$2:$AF$101,1),0)</f>
        <v>180.25</v>
      </c>
      <c r="E30" s="41" t="n">
        <f aca="false">IFERROR(SUMPRODUCT((Clean!$D$2:$D$101=B30)*Clean!$AG$2:$AG$101*Clean!$K$2:$K$101*Clean!$L$2:$L$101)/SUMPRODUCT((Clean!$D$2:$D$101=B30)*Clean!$AG$2:$AG$101*Clean!$L$2:$L$101),0)</f>
        <v>4.5</v>
      </c>
      <c r="F30" s="44" t="n">
        <f aca="false">C30+(9-A30)/1000</f>
        <v>2.001</v>
      </c>
      <c r="G30" s="37"/>
      <c r="H30" s="37" t="n">
        <v>8</v>
      </c>
      <c r="I30" s="37" t="str">
        <f aca="false">INDEX($B$23:$B$30,MATCH(LARGE($F$23:$F$30,H30),$F$23:$F$30,0))</f>
        <v>Samsung</v>
      </c>
      <c r="J30" s="37" t="n">
        <f aca="false">INDEX($C$23:$C$30,MATCH(I30,$B$23:$B$30,0))</f>
        <v>0</v>
      </c>
      <c r="K30" s="40" t="n">
        <f aca="false">INDEX($D$23:$D$30,MATCH(I30,$B$23:$B$30,0))</f>
        <v>0</v>
      </c>
      <c r="L30" s="41" t="n">
        <f aca="false">INDEX($E$23:$E$30,MATCH(I30,$B$23:$B$30,0))</f>
        <v>0</v>
      </c>
    </row>
    <row r="31" customFormat="false" ht="15" hidden="false" customHeight="fals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customFormat="false" ht="15" hidden="false" customHeight="fals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customFormat="false" ht="15" hidden="false" customHeight="false" outlineLevel="0" collapsed="false">
      <c r="A33" s="36" t="s">
        <v>76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customFormat="false" ht="15" hidden="false" customHeight="false" outlineLevel="0" collapsed="false">
      <c r="A34" s="38" t="s">
        <v>77</v>
      </c>
      <c r="B34" s="38" t="s">
        <v>78</v>
      </c>
      <c r="C34" s="38" t="s">
        <v>79</v>
      </c>
      <c r="D34" s="38" t="s">
        <v>71</v>
      </c>
      <c r="E34" s="37"/>
      <c r="F34" s="37"/>
      <c r="G34" s="37"/>
      <c r="H34" s="37"/>
      <c r="I34" s="37"/>
      <c r="J34" s="37"/>
      <c r="K34" s="37"/>
      <c r="L34" s="37"/>
    </row>
    <row r="35" customFormat="false" ht="15" hidden="false" customHeight="false" outlineLevel="0" collapsed="false">
      <c r="A35" s="37" t="str">
        <f aca="false">TEXT(B35,"0")&amp;"–"&amp;TEXT(C35,"0")</f>
        <v>50–100</v>
      </c>
      <c r="B35" s="37" t="n">
        <f aca="false">p_bin0+0*p_binw</f>
        <v>50</v>
      </c>
      <c r="C35" s="37" t="n">
        <f aca="false">B35+p_binw</f>
        <v>100</v>
      </c>
      <c r="D35" s="37" t="n">
        <f aca="false">COUNTIFS(Clean!$G$2:$G$101,"&gt;="&amp;B35,Clean!$G$2:$G$101,"&lt;"&amp;C35,Clean!$AF$2:$AF$101,1)</f>
        <v>5</v>
      </c>
      <c r="E35" s="37"/>
      <c r="F35" s="37"/>
      <c r="G35" s="37"/>
      <c r="H35" s="37"/>
      <c r="I35" s="37"/>
      <c r="J35" s="37"/>
      <c r="K35" s="37"/>
      <c r="L35" s="37"/>
    </row>
    <row r="36" customFormat="false" ht="15" hidden="false" customHeight="false" outlineLevel="0" collapsed="false">
      <c r="A36" s="37" t="str">
        <f aca="false">TEXT(B36,"0")&amp;"–"&amp;TEXT(C36,"0")</f>
        <v>100–150</v>
      </c>
      <c r="B36" s="37" t="n">
        <f aca="false">p_bin0+1*p_binw</f>
        <v>100</v>
      </c>
      <c r="C36" s="37" t="n">
        <f aca="false">B36+p_binw</f>
        <v>150</v>
      </c>
      <c r="D36" s="37" t="n">
        <f aca="false">COUNTIFS(Clean!$G$2:$G$101,"&gt;="&amp;B36,Clean!$G$2:$G$101,"&lt;"&amp;C36,Clean!$AF$2:$AF$101,1)</f>
        <v>18</v>
      </c>
      <c r="E36" s="37"/>
      <c r="F36" s="37"/>
      <c r="G36" s="37"/>
      <c r="H36" s="37"/>
      <c r="I36" s="37"/>
      <c r="J36" s="37"/>
      <c r="K36" s="37"/>
      <c r="L36" s="37"/>
    </row>
    <row r="37" customFormat="false" ht="15" hidden="false" customHeight="false" outlineLevel="0" collapsed="false">
      <c r="A37" s="37" t="str">
        <f aca="false">TEXT(B37,"0")&amp;"–"&amp;TEXT(C37,"0")</f>
        <v>150–200</v>
      </c>
      <c r="B37" s="37" t="n">
        <f aca="false">p_bin0+2*p_binw</f>
        <v>150</v>
      </c>
      <c r="C37" s="37" t="n">
        <f aca="false">B37+p_binw</f>
        <v>200</v>
      </c>
      <c r="D37" s="37" t="n">
        <f aca="false">COUNTIFS(Clean!$G$2:$G$101,"&gt;="&amp;B37,Clean!$G$2:$G$101,"&lt;"&amp;C37,Clean!$AF$2:$AF$101,1)</f>
        <v>22</v>
      </c>
      <c r="E37" s="37"/>
      <c r="F37" s="37"/>
      <c r="G37" s="37"/>
      <c r="H37" s="37"/>
      <c r="I37" s="37"/>
      <c r="J37" s="37"/>
      <c r="K37" s="37"/>
      <c r="L37" s="37"/>
    </row>
    <row r="38" customFormat="false" ht="15" hidden="false" customHeight="false" outlineLevel="0" collapsed="false">
      <c r="A38" s="37" t="str">
        <f aca="false">TEXT(B38,"0")&amp;"–"&amp;TEXT(C38,"0")</f>
        <v>200–250</v>
      </c>
      <c r="B38" s="37" t="n">
        <f aca="false">p_bin0+3*p_binw</f>
        <v>200</v>
      </c>
      <c r="C38" s="37" t="n">
        <f aca="false">B38+p_binw</f>
        <v>250</v>
      </c>
      <c r="D38" s="37" t="n">
        <f aca="false">COUNTIFS(Clean!$G$2:$G$101,"&gt;="&amp;B38,Clean!$G$2:$G$101,"&lt;"&amp;C38,Clean!$AF$2:$AF$101,1)</f>
        <v>17</v>
      </c>
      <c r="E38" s="37"/>
      <c r="F38" s="37"/>
      <c r="G38" s="37"/>
      <c r="H38" s="37"/>
      <c r="I38" s="37"/>
      <c r="J38" s="37"/>
      <c r="K38" s="37"/>
      <c r="L38" s="37"/>
    </row>
    <row r="39" customFormat="false" ht="15" hidden="false" customHeight="false" outlineLevel="0" collapsed="false">
      <c r="A39" s="37" t="str">
        <f aca="false">TEXT(B39,"0")&amp;"–"&amp;TEXT(C39,"0")</f>
        <v>250–300</v>
      </c>
      <c r="B39" s="37" t="n">
        <f aca="false">p_bin0+4*p_binw</f>
        <v>250</v>
      </c>
      <c r="C39" s="37" t="n">
        <f aca="false">B39+p_binw</f>
        <v>300</v>
      </c>
      <c r="D39" s="37" t="n">
        <f aca="false">COUNTIFS(Clean!$G$2:$G$101,"&gt;="&amp;B39,Clean!$G$2:$G$101,"&lt;"&amp;C39,Clean!$AF$2:$AF$101,1)</f>
        <v>14</v>
      </c>
      <c r="E39" s="37"/>
      <c r="F39" s="37"/>
      <c r="G39" s="37"/>
      <c r="H39" s="37"/>
      <c r="I39" s="37"/>
      <c r="J39" s="37"/>
      <c r="K39" s="37"/>
      <c r="L39" s="37"/>
    </row>
    <row r="40" customFormat="false" ht="15" hidden="false" customHeight="false" outlineLevel="0" collapsed="false">
      <c r="A40" s="37" t="str">
        <f aca="false">TEXT(B40,"0")&amp;"–"&amp;TEXT(C40,"0")</f>
        <v>300–350</v>
      </c>
      <c r="B40" s="37" t="n">
        <f aca="false">p_bin0+5*p_binw</f>
        <v>300</v>
      </c>
      <c r="C40" s="37" t="n">
        <f aca="false">B40+p_binw</f>
        <v>350</v>
      </c>
      <c r="D40" s="37" t="n">
        <f aca="false">COUNTIFS(Clean!$G$2:$G$101,"&gt;="&amp;B40,Clean!$G$2:$G$101,"&lt;"&amp;C40,Clean!$AF$2:$AF$101,1)</f>
        <v>9</v>
      </c>
      <c r="E40" s="37"/>
      <c r="F40" s="37"/>
      <c r="G40" s="37"/>
      <c r="H40" s="37"/>
      <c r="I40" s="37"/>
      <c r="J40" s="37"/>
      <c r="K40" s="37"/>
      <c r="L40" s="37"/>
    </row>
    <row r="41" customFormat="false" ht="15" hidden="false" customHeight="false" outlineLevel="0" collapsed="false">
      <c r="A41" s="37" t="str">
        <f aca="false">TEXT(B41,"0")&amp;"–"&amp;TEXT(C41,"0")</f>
        <v>350–400</v>
      </c>
      <c r="B41" s="37" t="n">
        <f aca="false">p_bin0+6*p_binw</f>
        <v>350</v>
      </c>
      <c r="C41" s="37" t="n">
        <f aca="false">B41+p_binw</f>
        <v>400</v>
      </c>
      <c r="D41" s="37" t="n">
        <f aca="false">COUNTIFS(Clean!$G$2:$G$101,"&gt;="&amp;B41,Clean!$G$2:$G$101,"&lt;"&amp;C41,Clean!$AF$2:$AF$101,1)</f>
        <v>2</v>
      </c>
      <c r="E41" s="37"/>
      <c r="F41" s="37"/>
      <c r="G41" s="37"/>
      <c r="H41" s="37"/>
      <c r="I41" s="37"/>
      <c r="J41" s="37"/>
      <c r="K41" s="37"/>
      <c r="L41" s="37"/>
    </row>
    <row r="42" customFormat="false" ht="15" hidden="false" customHeight="false" outlineLevel="0" collapsed="false">
      <c r="A42" s="37" t="str">
        <f aca="false">TEXT(B42,"0")&amp;"–"&amp;TEXT(C42,"0")</f>
        <v>400–450</v>
      </c>
      <c r="B42" s="37" t="n">
        <f aca="false">p_bin0+7*p_binw</f>
        <v>400</v>
      </c>
      <c r="C42" s="37" t="n">
        <f aca="false">B42+p_binw</f>
        <v>450</v>
      </c>
      <c r="D42" s="37" t="n">
        <f aca="false">COUNTIFS(Clean!$G$2:$G$101,"&gt;="&amp;B42,Clean!$G$2:$G$101,"&lt;"&amp;C42,Clean!$AF$2:$AF$101,1)</f>
        <v>5</v>
      </c>
      <c r="E42" s="37"/>
      <c r="F42" s="37"/>
      <c r="G42" s="37"/>
      <c r="H42" s="37"/>
      <c r="I42" s="37"/>
      <c r="J42" s="37"/>
      <c r="K42" s="37"/>
      <c r="L42" s="37"/>
    </row>
    <row r="43" customFormat="false" ht="15" hidden="false" customHeight="false" outlineLevel="0" collapsed="false">
      <c r="A43" s="37" t="str">
        <f aca="false">TEXT(B43,"0")&amp;"–"&amp;TEXT(C43,"0")</f>
        <v>450–500</v>
      </c>
      <c r="B43" s="37" t="n">
        <f aca="false">p_bin0+8*p_binw</f>
        <v>450</v>
      </c>
      <c r="C43" s="37" t="n">
        <f aca="false">B43+p_binw</f>
        <v>500</v>
      </c>
      <c r="D43" s="37" t="n">
        <f aca="false">COUNTIFS(Clean!$G$2:$G$101,"&gt;="&amp;B43,Clean!$G$2:$G$101,"&lt;"&amp;C43,Clean!$AF$2:$AF$101,1)</f>
        <v>5</v>
      </c>
      <c r="E43" s="37"/>
      <c r="F43" s="37"/>
      <c r="G43" s="37"/>
      <c r="H43" s="37"/>
      <c r="I43" s="37"/>
      <c r="J43" s="37"/>
      <c r="K43" s="37"/>
      <c r="L43" s="37"/>
    </row>
    <row r="44" customFormat="false" ht="15" hidden="false" customHeight="false" outlineLevel="0" collapsed="false">
      <c r="A44" s="37" t="str">
        <f aca="false">TEXT(B44,"0")&amp;"+"</f>
        <v>500+</v>
      </c>
      <c r="B44" s="37" t="n">
        <f aca="false">p_bin0+9*p_binw</f>
        <v>500</v>
      </c>
      <c r="C44" s="37" t="n">
        <v>1000000</v>
      </c>
      <c r="D44" s="37" t="n">
        <f aca="false">COUNTIFS(Clean!$G$2:$G$101,"&gt;="&amp;B44,Clean!$G$2:$G$101,"&lt;"&amp;C44,Clean!$AF$2:$AF$101,1)</f>
        <v>2</v>
      </c>
      <c r="E44" s="37"/>
      <c r="F44" s="37"/>
      <c r="G44" s="37"/>
      <c r="H44" s="37"/>
      <c r="I44" s="37"/>
      <c r="J44" s="37"/>
      <c r="K44" s="37"/>
      <c r="L44" s="37"/>
    </row>
    <row r="45" customFormat="false" ht="15" hidden="false" customHeight="fals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customFormat="false" ht="15" hidden="false" customHeight="fals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customFormat="false" ht="15" hidden="false" customHeight="false" outlineLevel="0" collapsed="false">
      <c r="A47" s="36" t="s">
        <v>80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customFormat="false" ht="15" hidden="false" customHeight="false" outlineLevel="0" collapsed="false">
      <c r="A48" s="38" t="s">
        <v>81</v>
      </c>
      <c r="B48" s="38" t="s">
        <v>82</v>
      </c>
      <c r="C48" s="38" t="s">
        <v>83</v>
      </c>
      <c r="D48" s="38" t="s">
        <v>84</v>
      </c>
      <c r="E48" s="38" t="s">
        <v>85</v>
      </c>
      <c r="F48" s="37"/>
      <c r="G48" s="37"/>
      <c r="H48" s="37"/>
      <c r="I48" s="37"/>
      <c r="J48" s="37"/>
      <c r="K48" s="37"/>
      <c r="L48" s="37"/>
    </row>
    <row r="49" customFormat="false" ht="15" hidden="false" customHeight="false" outlineLevel="0" collapsed="false">
      <c r="A49" s="37" t="str">
        <f aca="false">Params!E5</f>
        <v>&lt; 100 M</v>
      </c>
      <c r="B49" s="37" t="n">
        <f aca="false">COUNTIFS(Clean!$AB$2:$AB$101,$A49,Clean!$O$2:$O$101,"Intel",Clean!$AE$2:$AE$101,1)</f>
        <v>0</v>
      </c>
      <c r="C49" s="37" t="n">
        <f aca="false">COUNTIFS(Clean!$AB$2:$AB$101,$A49,Clean!$O$2:$O$101,"AMD",Clean!$AE$2:$AE$101,1)</f>
        <v>0</v>
      </c>
      <c r="D49" s="37" t="n">
        <f aca="false">COUNTIFS(Clean!$AB$2:$AB$101,$A49,Clean!$O$2:$O$101,"Apple",Clean!$AE$2:$AE$101,1)</f>
        <v>0</v>
      </c>
      <c r="E49" s="37" t="n">
        <f aca="false">SUM(B49:D49)</f>
        <v>0</v>
      </c>
      <c r="F49" s="37"/>
      <c r="G49" s="37"/>
      <c r="H49" s="37"/>
      <c r="I49" s="37"/>
      <c r="J49" s="37"/>
      <c r="K49" s="37"/>
      <c r="L49" s="37"/>
    </row>
    <row r="50" customFormat="false" ht="15" hidden="false" customHeight="false" outlineLevel="0" collapsed="false">
      <c r="A50" s="37" t="str">
        <f aca="false">Params!E6</f>
        <v>100–200 M</v>
      </c>
      <c r="B50" s="37" t="n">
        <f aca="false">COUNTIFS(Clean!$AB$2:$AB$101,$A50,Clean!$O$2:$O$101,"Intel",Clean!$AE$2:$AE$101,1)</f>
        <v>33</v>
      </c>
      <c r="C50" s="37" t="n">
        <f aca="false">COUNTIFS(Clean!$AB$2:$AB$101,$A50,Clean!$O$2:$O$101,"AMD",Clean!$AE$2:$AE$101,1)</f>
        <v>7</v>
      </c>
      <c r="D50" s="37" t="n">
        <f aca="false">COUNTIFS(Clean!$AB$2:$AB$101,$A50,Clean!$O$2:$O$101,"Apple",Clean!$AE$2:$AE$101,1)</f>
        <v>0</v>
      </c>
      <c r="E50" s="37" t="n">
        <f aca="false">SUM(B50:D50)</f>
        <v>40</v>
      </c>
      <c r="F50" s="37"/>
      <c r="G50" s="37"/>
      <c r="H50" s="37"/>
      <c r="I50" s="37"/>
      <c r="J50" s="37"/>
      <c r="K50" s="37"/>
      <c r="L50" s="37"/>
    </row>
    <row r="51" customFormat="false" ht="15" hidden="false" customHeight="false" outlineLevel="0" collapsed="false">
      <c r="A51" s="37" t="str">
        <f aca="false">Params!E7</f>
        <v>200–300 M</v>
      </c>
      <c r="B51" s="37" t="n">
        <f aca="false">COUNTIFS(Clean!$AB$2:$AB$101,$A51,Clean!$O$2:$O$101,"Intel",Clean!$AE$2:$AE$101,1)</f>
        <v>26</v>
      </c>
      <c r="C51" s="37" t="n">
        <f aca="false">COUNTIFS(Clean!$AB$2:$AB$101,$A51,Clean!$O$2:$O$101,"AMD",Clean!$AE$2:$AE$101,1)</f>
        <v>3</v>
      </c>
      <c r="D51" s="37" t="n">
        <f aca="false">COUNTIFS(Clean!$AB$2:$AB$101,$A51,Clean!$O$2:$O$101,"Apple",Clean!$AE$2:$AE$101,1)</f>
        <v>2</v>
      </c>
      <c r="E51" s="37" t="n">
        <f aca="false">SUM(B51:D51)</f>
        <v>31</v>
      </c>
      <c r="F51" s="37"/>
      <c r="G51" s="37"/>
      <c r="H51" s="37"/>
      <c r="I51" s="37"/>
      <c r="J51" s="37"/>
      <c r="K51" s="37"/>
      <c r="L51" s="37"/>
    </row>
    <row r="52" customFormat="false" ht="15" hidden="false" customHeight="false" outlineLevel="0" collapsed="false">
      <c r="A52" s="37" t="str">
        <f aca="false">Params!E8</f>
        <v>300–400 M</v>
      </c>
      <c r="B52" s="37" t="n">
        <f aca="false">COUNTIFS(Clean!$AB$2:$AB$101,$A52,Clean!$O$2:$O$101,"Intel",Clean!$AE$2:$AE$101,1)</f>
        <v>7</v>
      </c>
      <c r="C52" s="37" t="n">
        <f aca="false">COUNTIFS(Clean!$AB$2:$AB$101,$A52,Clean!$O$2:$O$101,"AMD",Clean!$AE$2:$AE$101,1)</f>
        <v>3</v>
      </c>
      <c r="D52" s="37" t="n">
        <f aca="false">COUNTIFS(Clean!$AB$2:$AB$101,$A52,Clean!$O$2:$O$101,"Apple",Clean!$AE$2:$AE$101,1)</f>
        <v>1</v>
      </c>
      <c r="E52" s="37" t="n">
        <f aca="false">SUM(B52:D52)</f>
        <v>11</v>
      </c>
      <c r="F52" s="37"/>
      <c r="G52" s="37"/>
      <c r="H52" s="37"/>
      <c r="I52" s="37"/>
      <c r="J52" s="37"/>
      <c r="K52" s="37"/>
      <c r="L52" s="37"/>
    </row>
    <row r="53" customFormat="false" ht="15" hidden="false" customHeight="false" outlineLevel="0" collapsed="false">
      <c r="A53" s="37" t="str">
        <f aca="false">Params!E9</f>
        <v>400 M +</v>
      </c>
      <c r="B53" s="37" t="n">
        <f aca="false">COUNTIFS(Clean!$AB$2:$AB$101,$A53,Clean!$O$2:$O$101,"Intel",Clean!$AE$2:$AE$101,1)</f>
        <v>11</v>
      </c>
      <c r="C53" s="37" t="n">
        <f aca="false">COUNTIFS(Clean!$AB$2:$AB$101,$A53,Clean!$O$2:$O$101,"AMD",Clean!$AE$2:$AE$101,1)</f>
        <v>0</v>
      </c>
      <c r="D53" s="37" t="n">
        <f aca="false">COUNTIFS(Clean!$AB$2:$AB$101,$A53,Clean!$O$2:$O$101,"Apple",Clean!$AE$2:$AE$101,1)</f>
        <v>1</v>
      </c>
      <c r="E53" s="37" t="n">
        <f aca="false">SUM(B53:D53)</f>
        <v>12</v>
      </c>
      <c r="F53" s="37"/>
      <c r="G53" s="37"/>
      <c r="H53" s="37"/>
      <c r="I53" s="37"/>
      <c r="J53" s="37"/>
      <c r="K53" s="37"/>
      <c r="L53" s="37"/>
    </row>
    <row r="54" customFormat="false" ht="15" hidden="false" customHeight="fals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customFormat="false" ht="15" hidden="false" customHeight="fals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customFormat="false" ht="15" hidden="false" customHeight="false" outlineLevel="0" collapsed="false">
      <c r="A56" s="36" t="s">
        <v>86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customFormat="false" ht="15" hidden="false" customHeight="false" outlineLevel="0" collapsed="false">
      <c r="A57" s="38" t="s">
        <v>87</v>
      </c>
      <c r="B57" s="38" t="s">
        <v>71</v>
      </c>
      <c r="C57" s="38" t="s">
        <v>72</v>
      </c>
      <c r="D57" s="38" t="s">
        <v>88</v>
      </c>
      <c r="E57" s="37"/>
      <c r="F57" s="37"/>
      <c r="G57" s="37"/>
      <c r="H57" s="37"/>
      <c r="I57" s="37"/>
      <c r="J57" s="37"/>
      <c r="K57" s="37"/>
      <c r="L57" s="37"/>
    </row>
    <row r="58" customFormat="false" ht="15" hidden="false" customHeight="false" outlineLevel="0" collapsed="false">
      <c r="A58" s="37" t="n">
        <v>4</v>
      </c>
      <c r="B58" s="37" t="n">
        <f aca="false">COUNTIFS(Clean!$Q$2:$Q$101,A58,Clean!$AE$2:$AE$101,1)</f>
        <v>3</v>
      </c>
      <c r="C58" s="40" t="n">
        <f aca="false">IFERROR(AVERAGEIFS(Clean!$G$2:$G$101,Clean!$Q$2:$Q$101,A58,Clean!$AF$2:$AF$101,1),0)</f>
        <v>68.2</v>
      </c>
      <c r="D58" s="37" t="str">
        <f aca="false">A58&amp;" GB (n="&amp;B58&amp;")"</f>
        <v>4 GB (n=3)</v>
      </c>
      <c r="E58" s="37"/>
      <c r="F58" s="37"/>
      <c r="G58" s="37"/>
      <c r="H58" s="37"/>
      <c r="I58" s="37"/>
      <c r="J58" s="37"/>
      <c r="K58" s="37"/>
      <c r="L58" s="37"/>
    </row>
    <row r="59" customFormat="false" ht="15" hidden="false" customHeight="false" outlineLevel="0" collapsed="false">
      <c r="A59" s="37" t="n">
        <v>8</v>
      </c>
      <c r="B59" s="37" t="n">
        <f aca="false">COUNTIFS(Clean!$Q$2:$Q$101,A59,Clean!$AE$2:$AE$101,1)</f>
        <v>27</v>
      </c>
      <c r="C59" s="40" t="n">
        <f aca="false">IFERROR(AVERAGEIFS(Clean!$G$2:$G$101,Clean!$Q$2:$Q$101,A59,Clean!$AF$2:$AF$101,1),0)</f>
        <v>147.796222222222</v>
      </c>
      <c r="D59" s="37" t="str">
        <f aca="false">A59&amp;" GB (n="&amp;B59&amp;")"</f>
        <v>8 GB (n=27)</v>
      </c>
      <c r="E59" s="37"/>
      <c r="F59" s="37"/>
      <c r="G59" s="37"/>
      <c r="H59" s="37"/>
      <c r="I59" s="37"/>
      <c r="J59" s="37"/>
      <c r="K59" s="37"/>
      <c r="L59" s="37"/>
    </row>
    <row r="60" customFormat="false" ht="15" hidden="false" customHeight="false" outlineLevel="0" collapsed="false">
      <c r="A60" s="37" t="n">
        <v>12</v>
      </c>
      <c r="B60" s="37" t="n">
        <f aca="false">COUNTIFS(Clean!$Q$2:$Q$101,A60,Clean!$AE$2:$AE$101,1)</f>
        <v>1</v>
      </c>
      <c r="C60" s="40" t="n">
        <f aca="false">IFERROR(AVERAGEIFS(Clean!$G$2:$G$101,Clean!$Q$2:$Q$101,A60,Clean!$AF$2:$AF$101,1),0)</f>
        <v>144</v>
      </c>
      <c r="D60" s="37" t="str">
        <f aca="false">A60&amp;" GB (n="&amp;B60&amp;")"</f>
        <v>12 GB (n=1)</v>
      </c>
      <c r="E60" s="37"/>
      <c r="F60" s="37"/>
      <c r="G60" s="37"/>
      <c r="H60" s="37"/>
      <c r="I60" s="37"/>
      <c r="J60" s="37"/>
      <c r="K60" s="37"/>
      <c r="L60" s="37"/>
    </row>
    <row r="61" customFormat="false" ht="15" hidden="false" customHeight="false" outlineLevel="0" collapsed="false">
      <c r="A61" s="37" t="n">
        <v>16</v>
      </c>
      <c r="B61" s="37" t="n">
        <f aca="false">COUNTIFS(Clean!$Q$2:$Q$101,A61,Clean!$AE$2:$AE$101,1)</f>
        <v>56</v>
      </c>
      <c r="C61" s="40" t="n">
        <f aca="false">IFERROR(AVERAGEIFS(Clean!$G$2:$G$101,Clean!$Q$2:$Q$101,A61,Clean!$AF$2:$AF$101,1),0)</f>
        <v>262.365892857143</v>
      </c>
      <c r="D61" s="37" t="str">
        <f aca="false">A61&amp;" GB (n="&amp;B61&amp;")"</f>
        <v>16 GB (n=56)</v>
      </c>
      <c r="E61" s="37"/>
      <c r="F61" s="37"/>
      <c r="G61" s="37"/>
      <c r="H61" s="37"/>
      <c r="I61" s="37"/>
      <c r="J61" s="37"/>
      <c r="K61" s="37"/>
      <c r="L61" s="37"/>
    </row>
    <row r="62" customFormat="false" ht="15" hidden="false" customHeight="false" outlineLevel="0" collapsed="false">
      <c r="A62" s="37" t="n">
        <v>20</v>
      </c>
      <c r="B62" s="37" t="n">
        <f aca="false">COUNTIFS(Clean!$Q$2:$Q$101,A62,Clean!$AE$2:$AE$101,1)</f>
        <v>1</v>
      </c>
      <c r="C62" s="40" t="n">
        <f aca="false">IFERROR(AVERAGEIFS(Clean!$G$2:$G$101,Clean!$Q$2:$Q$101,A62,Clean!$AF$2:$AF$101,1),0)</f>
        <v>223</v>
      </c>
      <c r="D62" s="37" t="str">
        <f aca="false">A62&amp;" GB (n="&amp;B62&amp;")"</f>
        <v>20 GB (n=1)</v>
      </c>
      <c r="E62" s="37"/>
      <c r="F62" s="37"/>
      <c r="G62" s="37"/>
      <c r="H62" s="37"/>
      <c r="I62" s="37"/>
      <c r="J62" s="37"/>
      <c r="K62" s="37"/>
      <c r="L62" s="37"/>
    </row>
    <row r="63" customFormat="false" ht="15" hidden="false" customHeight="false" outlineLevel="0" collapsed="false">
      <c r="A63" s="37" t="n">
        <v>24</v>
      </c>
      <c r="B63" s="37" t="n">
        <f aca="false">COUNTIFS(Clean!$Q$2:$Q$101,A63,Clean!$AE$2:$AE$101,1)</f>
        <v>2</v>
      </c>
      <c r="C63" s="40" t="n">
        <f aca="false">IFERROR(AVERAGEIFS(Clean!$G$2:$G$101,Clean!$Q$2:$Q$101,A63,Clean!$AF$2:$AF$101,1),0)</f>
        <v>227</v>
      </c>
      <c r="D63" s="37" t="str">
        <f aca="false">A63&amp;" GB (n="&amp;B63&amp;")"</f>
        <v>24 GB (n=2)</v>
      </c>
      <c r="E63" s="37"/>
      <c r="F63" s="37"/>
      <c r="G63" s="37"/>
      <c r="H63" s="37"/>
      <c r="I63" s="37"/>
      <c r="J63" s="37"/>
      <c r="K63" s="37"/>
      <c r="L63" s="37"/>
    </row>
    <row r="64" customFormat="false" ht="15" hidden="false" customHeight="false" outlineLevel="0" collapsed="false">
      <c r="A64" s="37" t="n">
        <v>32</v>
      </c>
      <c r="B64" s="37" t="n">
        <f aca="false">COUNTIFS(Clean!$Q$2:$Q$101,A64,Clean!$AE$2:$AE$101,1)</f>
        <v>9</v>
      </c>
      <c r="C64" s="40" t="n">
        <f aca="false">IFERROR(AVERAGEIFS(Clean!$G$2:$G$101,Clean!$Q$2:$Q$101,A64,Clean!$AF$2:$AF$101,1),0)</f>
        <v>425.688888888889</v>
      </c>
      <c r="D64" s="37" t="str">
        <f aca="false">A64&amp;" GB (n="&amp;B64&amp;")"</f>
        <v>32 GB (n=9)</v>
      </c>
      <c r="E64" s="37"/>
      <c r="F64" s="37"/>
      <c r="G64" s="37"/>
      <c r="H64" s="37"/>
      <c r="I64" s="37"/>
      <c r="J64" s="37"/>
      <c r="K64" s="37"/>
      <c r="L64" s="37"/>
    </row>
    <row r="65" customFormat="false" ht="15" hidden="false" customHeight="fals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customFormat="false" ht="15" hidden="false" customHeight="fals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customFormat="false" ht="15" hidden="false" customHeight="false" outlineLevel="0" collapsed="false">
      <c r="A67" s="36" t="s">
        <v>89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customFormat="false" ht="15" hidden="false" customHeight="false" outlineLevel="0" collapsed="false">
      <c r="A68" s="38" t="s">
        <v>69</v>
      </c>
      <c r="B68" s="38" t="s">
        <v>90</v>
      </c>
      <c r="C68" s="38" t="s">
        <v>71</v>
      </c>
      <c r="D68" s="38" t="s">
        <v>72</v>
      </c>
      <c r="E68" s="38" t="s">
        <v>74</v>
      </c>
      <c r="F68" s="37"/>
      <c r="G68" s="38" t="s">
        <v>75</v>
      </c>
      <c r="H68" s="38" t="s">
        <v>91</v>
      </c>
      <c r="I68" s="38" t="s">
        <v>71</v>
      </c>
      <c r="J68" s="38" t="s">
        <v>72</v>
      </c>
      <c r="K68" s="37"/>
      <c r="L68" s="37"/>
    </row>
    <row r="69" customFormat="false" ht="15" hidden="false" customHeight="false" outlineLevel="0" collapsed="false">
      <c r="A69" s="37" t="n">
        <v>1</v>
      </c>
      <c r="B69" s="37" t="str">
        <f aca="false">IFERROR(INDEX(Clean!$P$2:$P$101,MATCH(A69,Clean!$AJ$2:$AJ$101,0)),"")</f>
        <v>Core i3</v>
      </c>
      <c r="C69" s="37" t="n">
        <f aca="false">IF(B69="","",COUNTIFS(Clean!$P$2:$P$101,B69,Clean!$AE$2:$AE$101,1))</f>
        <v>10</v>
      </c>
      <c r="D69" s="40" t="n">
        <f aca="false">IF(B69="","",IFERROR(AVERAGEIFS(Clean!$G$2:$G$101,Clean!$P$2:$P$101,B69,Clean!$AF$2:$AF$101,1),0))</f>
        <v>140.1798</v>
      </c>
      <c r="E69" s="44" t="n">
        <f aca="false">IF(B69="","",IF(C69&gt;0,C69+(26-A69)/1000,""))</f>
        <v>10.025</v>
      </c>
      <c r="F69" s="37"/>
      <c r="G69" s="37" t="n">
        <v>1</v>
      </c>
      <c r="H69" s="37" t="str">
        <f aca="false">IFERROR(INDEX($B$69:$B$93,MATCH(LARGE($E$69:$E$93,G69),$E$69:$E$93,0))&amp;" (n="&amp;INDEX($C$69:$C$93,MATCH(LARGE($E$69:$E$93,G69),$E$69:$E$93,0))&amp;")","")</f>
        <v>Core i7 (n=23)</v>
      </c>
      <c r="I69" s="37" t="n">
        <f aca="false">IFERROR(INDEX($C$69:$C$93,MATCH(LARGE($E$69:$E$93,G69),$E$69:$E$93,0)),"")</f>
        <v>23</v>
      </c>
      <c r="J69" s="40" t="n">
        <f aca="false">IFERROR(INDEX($D$69:$D$93,MATCH(LARGE($E$69:$E$93,G69),$E$69:$E$93,0)),"")</f>
        <v>322.847826086957</v>
      </c>
      <c r="K69" s="37"/>
      <c r="L69" s="37"/>
    </row>
    <row r="70" customFormat="false" ht="15" hidden="false" customHeight="false" outlineLevel="0" collapsed="false">
      <c r="A70" s="37" t="n">
        <v>2</v>
      </c>
      <c r="B70" s="37" t="str">
        <f aca="false">IFERROR(INDEX(Clean!$P$2:$P$101,MATCH(A70,Clean!$AJ$2:$AJ$101,0)),"")</f>
        <v>Core i7</v>
      </c>
      <c r="C70" s="37" t="n">
        <f aca="false">IF(B70="","",COUNTIFS(Clean!$P$2:$P$101,B70,Clean!$AE$2:$AE$101,1))</f>
        <v>23</v>
      </c>
      <c r="D70" s="40" t="n">
        <f aca="false">IF(B70="","",IFERROR(AVERAGEIFS(Clean!$G$2:$G$101,Clean!$P$2:$P$101,B70,Clean!$AF$2:$AF$101,1),0))</f>
        <v>322.847826086957</v>
      </c>
      <c r="E70" s="44" t="n">
        <f aca="false">IF(B70="","",IF(C70&gt;0,C70+(26-A70)/1000,""))</f>
        <v>23.024</v>
      </c>
      <c r="F70" s="37"/>
      <c r="G70" s="37" t="n">
        <v>2</v>
      </c>
      <c r="H70" s="37" t="str">
        <f aca="false">IFERROR(INDEX($B$69:$B$93,MATCH(LARGE($E$69:$E$93,G70),$E$69:$E$93,0))&amp;" (n="&amp;INDEX($C$69:$C$93,MATCH(LARGE($E$69:$E$93,G70),$E$69:$E$93,0))&amp;")","")</f>
        <v>Core i5 (n=21)</v>
      </c>
      <c r="I70" s="37" t="n">
        <f aca="false">IFERROR(INDEX($C$69:$C$93,MATCH(LARGE($E$69:$E$93,G70),$E$69:$E$93,0)),"")</f>
        <v>21</v>
      </c>
      <c r="J70" s="40" t="n">
        <f aca="false">IFERROR(INDEX($D$69:$D$93,MATCH(LARGE($E$69:$E$93,G70),$E$69:$E$93,0)),"")</f>
        <v>225.385714285714</v>
      </c>
      <c r="K70" s="37"/>
      <c r="L70" s="37"/>
    </row>
    <row r="71" customFormat="false" ht="15" hidden="false" customHeight="false" outlineLevel="0" collapsed="false">
      <c r="A71" s="37" t="n">
        <v>3</v>
      </c>
      <c r="B71" s="37" t="str">
        <f aca="false">IFERROR(INDEX(Clean!$P$2:$P$101,MATCH(A71,Clean!$AJ$2:$AJ$101,0)),"")</f>
        <v>Core i5</v>
      </c>
      <c r="C71" s="37" t="n">
        <f aca="false">IF(B71="","",COUNTIFS(Clean!$P$2:$P$101,B71,Clean!$AE$2:$AE$101,1))</f>
        <v>21</v>
      </c>
      <c r="D71" s="40" t="n">
        <f aca="false">IF(B71="","",IFERROR(AVERAGEIFS(Clean!$G$2:$G$101,Clean!$P$2:$P$101,B71,Clean!$AF$2:$AF$101,1),0))</f>
        <v>225.385714285714</v>
      </c>
      <c r="E71" s="44" t="n">
        <f aca="false">IF(B71="","",IF(C71&gt;0,C71+(26-A71)/1000,""))</f>
        <v>21.023</v>
      </c>
      <c r="F71" s="37"/>
      <c r="G71" s="37" t="n">
        <v>3</v>
      </c>
      <c r="H71" s="37" t="str">
        <f aca="false">IFERROR(INDEX($B$69:$B$93,MATCH(LARGE($E$69:$E$93,G71),$E$69:$E$93,0))&amp;" (n="&amp;INDEX($C$69:$C$93,MATCH(LARGE($E$69:$E$93,G71),$E$69:$E$93,0))&amp;")","")</f>
        <v>Core i3 (n=10)</v>
      </c>
      <c r="I71" s="37" t="n">
        <f aca="false">IFERROR(INDEX($C$69:$C$93,MATCH(LARGE($E$69:$E$93,G71),$E$69:$E$93,0)),"")</f>
        <v>10</v>
      </c>
      <c r="J71" s="40" t="n">
        <f aca="false">IFERROR(INDEX($D$69:$D$93,MATCH(LARGE($E$69:$E$93,G71),$E$69:$E$93,0)),"")</f>
        <v>140.1798</v>
      </c>
      <c r="K71" s="37"/>
      <c r="L71" s="37"/>
    </row>
    <row r="72" customFormat="false" ht="15" hidden="false" customHeight="false" outlineLevel="0" collapsed="false">
      <c r="A72" s="37" t="n">
        <v>4</v>
      </c>
      <c r="B72" s="37" t="str">
        <f aca="false">IFERROR(INDEX(Clean!$P$2:$P$101,MATCH(A72,Clean!$AJ$2:$AJ$101,0)),"")</f>
        <v>Celeron</v>
      </c>
      <c r="C72" s="37" t="n">
        <f aca="false">IF(B72="","",COUNTIFS(Clean!$P$2:$P$101,B72,Clean!$AE$2:$AE$101,1))</f>
        <v>9</v>
      </c>
      <c r="D72" s="40" t="n">
        <f aca="false">IF(B72="","",IFERROR(AVERAGEIFS(Clean!$G$2:$G$101,Clean!$P$2:$P$101,B72,Clean!$AF$2:$AF$101,1),0))</f>
        <v>93.3666666666667</v>
      </c>
      <c r="E72" s="44" t="n">
        <f aca="false">IF(B72="","",IF(C72&gt;0,C72+(26-A72)/1000,""))</f>
        <v>9.022</v>
      </c>
      <c r="F72" s="37"/>
      <c r="G72" s="37" t="n">
        <v>4</v>
      </c>
      <c r="H72" s="37" t="str">
        <f aca="false">IFERROR(INDEX($B$69:$B$93,MATCH(LARGE($E$69:$E$93,G72),$E$69:$E$93,0))&amp;" (n="&amp;INDEX($C$69:$C$93,MATCH(LARGE($E$69:$E$93,G72),$E$69:$E$93,0))&amp;")","")</f>
        <v>Celeron (n=9)</v>
      </c>
      <c r="I72" s="37" t="n">
        <f aca="false">IFERROR(INDEX($C$69:$C$93,MATCH(LARGE($E$69:$E$93,G72),$E$69:$E$93,0)),"")</f>
        <v>9</v>
      </c>
      <c r="J72" s="40" t="n">
        <f aca="false">IFERROR(INDEX($D$69:$D$93,MATCH(LARGE($E$69:$E$93,G72),$E$69:$E$93,0)),"")</f>
        <v>93.3666666666667</v>
      </c>
      <c r="K72" s="37"/>
      <c r="L72" s="37"/>
    </row>
    <row r="73" customFormat="false" ht="15" hidden="false" customHeight="false" outlineLevel="0" collapsed="false">
      <c r="A73" s="37" t="n">
        <v>5</v>
      </c>
      <c r="B73" s="37" t="str">
        <f aca="false">IFERROR(INDEX(Clean!$P$2:$P$101,MATCH(A73,Clean!$AJ$2:$AJ$101,0)),"")</f>
        <v>Core 7</v>
      </c>
      <c r="C73" s="37" t="n">
        <f aca="false">IF(B73="","",COUNTIFS(Clean!$P$2:$P$101,B73,Clean!$AE$2:$AE$101,1))</f>
        <v>8</v>
      </c>
      <c r="D73" s="40" t="n">
        <f aca="false">IF(B73="","",IFERROR(AVERAGEIFS(Clean!$G$2:$G$101,Clean!$P$2:$P$101,B73,Clean!$AF$2:$AF$101,1),0))</f>
        <v>212.3375</v>
      </c>
      <c r="E73" s="44" t="n">
        <f aca="false">IF(B73="","",IF(C73&gt;0,C73+(26-A73)/1000,""))</f>
        <v>8.021</v>
      </c>
      <c r="F73" s="37"/>
      <c r="G73" s="37" t="n">
        <v>5</v>
      </c>
      <c r="H73" s="37" t="str">
        <f aca="false">IFERROR(INDEX($B$69:$B$93,MATCH(LARGE($E$69:$E$93,G73),$E$69:$E$93,0))&amp;" (n="&amp;INDEX($C$69:$C$93,MATCH(LARGE($E$69:$E$93,G73),$E$69:$E$93,0))&amp;")","")</f>
        <v>Core 7 (n=8)</v>
      </c>
      <c r="I73" s="37" t="n">
        <f aca="false">IFERROR(INDEX($C$69:$C$93,MATCH(LARGE($E$69:$E$93,G73),$E$69:$E$93,0)),"")</f>
        <v>8</v>
      </c>
      <c r="J73" s="40" t="n">
        <f aca="false">IFERROR(INDEX($D$69:$D$93,MATCH(LARGE($E$69:$E$93,G73),$E$69:$E$93,0)),"")</f>
        <v>212.3375</v>
      </c>
      <c r="K73" s="37"/>
      <c r="L73" s="37"/>
    </row>
    <row r="74" customFormat="false" ht="15" hidden="false" customHeight="false" outlineLevel="0" collapsed="false">
      <c r="A74" s="37" t="n">
        <v>6</v>
      </c>
      <c r="B74" s="37" t="str">
        <f aca="false">IFERROR(INDEX(Clean!$P$2:$P$101,MATCH(A74,Clean!$AJ$2:$AJ$101,0)),"")</f>
        <v>Core 5</v>
      </c>
      <c r="C74" s="37" t="n">
        <f aca="false">IF(B74="","",COUNTIFS(Clean!$P$2:$P$101,B74,Clean!$AE$2:$AE$101,1))</f>
        <v>5</v>
      </c>
      <c r="D74" s="40" t="n">
        <f aca="false">IF(B74="","",IFERROR(AVERAGEIFS(Clean!$G$2:$G$101,Clean!$P$2:$P$101,B74,Clean!$AF$2:$AF$101,1),0))</f>
        <v>250.4</v>
      </c>
      <c r="E74" s="44" t="n">
        <f aca="false">IF(B74="","",IF(C74&gt;0,C74+(26-A74)/1000,""))</f>
        <v>5.02</v>
      </c>
      <c r="F74" s="37"/>
      <c r="G74" s="37" t="n">
        <v>6</v>
      </c>
      <c r="H74" s="37" t="str">
        <f aca="false">IFERROR(INDEX($B$69:$B$93,MATCH(LARGE($E$69:$E$93,G74),$E$69:$E$93,0))&amp;" (n="&amp;INDEX($C$69:$C$93,MATCH(LARGE($E$69:$E$93,G74),$E$69:$E$93,0))&amp;")","")</f>
        <v>Ryzen 7 (n=6)</v>
      </c>
      <c r="I74" s="37" t="n">
        <f aca="false">IFERROR(INDEX($C$69:$C$93,MATCH(LARGE($E$69:$E$93,G74),$E$69:$E$93,0)),"")</f>
        <v>6</v>
      </c>
      <c r="J74" s="40" t="n">
        <f aca="false">IFERROR(INDEX($D$69:$D$93,MATCH(LARGE($E$69:$E$93,G74),$E$69:$E$93,0)),"")</f>
        <v>292.683333333333</v>
      </c>
      <c r="K74" s="37"/>
      <c r="L74" s="37"/>
    </row>
    <row r="75" customFormat="false" ht="15" hidden="false" customHeight="false" outlineLevel="0" collapsed="false">
      <c r="A75" s="37" t="n">
        <v>7</v>
      </c>
      <c r="B75" s="37" t="str">
        <f aca="false">IFERROR(INDEX(Clean!$P$2:$P$101,MATCH(A75,Clean!$AJ$2:$AJ$101,0)),"")</f>
        <v>Apple Silicon</v>
      </c>
      <c r="C75" s="37" t="n">
        <f aca="false">IF(B75="","",COUNTIFS(Clean!$P$2:$P$101,B75,Clean!$AE$2:$AE$101,1))</f>
        <v>4</v>
      </c>
      <c r="D75" s="40" t="n">
        <f aca="false">IF(B75="","",IFERROR(AVERAGEIFS(Clean!$G$2:$G$101,Clean!$P$2:$P$101,B75,Clean!$AF$2:$AF$101,1),0))</f>
        <v>325.8475</v>
      </c>
      <c r="E75" s="44" t="n">
        <f aca="false">IF(B75="","",IF(C75&gt;0,C75+(26-A75)/1000,""))</f>
        <v>4.019</v>
      </c>
      <c r="F75" s="37"/>
      <c r="G75" s="37" t="n">
        <v>7</v>
      </c>
      <c r="H75" s="37" t="str">
        <f aca="false">IFERROR(INDEX($B$69:$B$93,MATCH(LARGE($E$69:$E$93,G75),$E$69:$E$93,0))&amp;" (n="&amp;INDEX($C$69:$C$93,MATCH(LARGE($E$69:$E$93,G75),$E$69:$E$93,0))&amp;")","")</f>
        <v>Core 5 (n=5)</v>
      </c>
      <c r="I75" s="37" t="n">
        <f aca="false">IFERROR(INDEX($C$69:$C$93,MATCH(LARGE($E$69:$E$93,G75),$E$69:$E$93,0)),"")</f>
        <v>5</v>
      </c>
      <c r="J75" s="40" t="n">
        <f aca="false">IFERROR(INDEX($D$69:$D$93,MATCH(LARGE($E$69:$E$93,G75),$E$69:$E$93,0)),"")</f>
        <v>250.4</v>
      </c>
      <c r="K75" s="37"/>
      <c r="L75" s="37"/>
    </row>
    <row r="76" customFormat="false" ht="15" hidden="false" customHeight="false" outlineLevel="0" collapsed="false">
      <c r="A76" s="37" t="n">
        <v>8</v>
      </c>
      <c r="B76" s="37" t="str">
        <f aca="false">IFERROR(INDEX(Clean!$P$2:$P$101,MATCH(A76,Clean!$AJ$2:$AJ$101,0)),"")</f>
        <v>Ryzen AI</v>
      </c>
      <c r="C76" s="37" t="n">
        <f aca="false">IF(B76="","",COUNTIFS(Clean!$P$2:$P$101,B76,Clean!$AE$2:$AE$101,1))</f>
        <v>1</v>
      </c>
      <c r="D76" s="40" t="n">
        <f aca="false">IF(B76="","",IFERROR(AVERAGEIFS(Clean!$G$2:$G$101,Clean!$P$2:$P$101,B76,Clean!$AF$2:$AF$101,1),0))</f>
        <v>215</v>
      </c>
      <c r="E76" s="44" t="n">
        <f aca="false">IF(B76="","",IF(C76&gt;0,C76+(26-A76)/1000,""))</f>
        <v>1.018</v>
      </c>
      <c r="F76" s="37"/>
      <c r="G76" s="37" t="n">
        <v>8</v>
      </c>
      <c r="H76" s="37" t="str">
        <f aca="false">IFERROR(INDEX($B$69:$B$93,MATCH(LARGE($E$69:$E$93,G76),$E$69:$E$93,0))&amp;" (n="&amp;INDEX($C$69:$C$93,MATCH(LARGE($E$69:$E$93,G76),$E$69:$E$93,0))&amp;")","")</f>
        <v>Apple Silicon (n=4)</v>
      </c>
      <c r="I76" s="37" t="n">
        <f aca="false">IFERROR(INDEX($C$69:$C$93,MATCH(LARGE($E$69:$E$93,G76),$E$69:$E$93,0)),"")</f>
        <v>4</v>
      </c>
      <c r="J76" s="40" t="n">
        <f aca="false">IFERROR(INDEX($D$69:$D$93,MATCH(LARGE($E$69:$E$93,G76),$E$69:$E$93,0)),"")</f>
        <v>325.8475</v>
      </c>
      <c r="K76" s="37"/>
      <c r="L76" s="37"/>
    </row>
    <row r="77" customFormat="false" ht="15" hidden="false" customHeight="false" outlineLevel="0" collapsed="false">
      <c r="A77" s="37" t="n">
        <v>9</v>
      </c>
      <c r="B77" s="37" t="str">
        <f aca="false">IFERROR(INDEX(Clean!$P$2:$P$101,MATCH(A77,Clean!$AJ$2:$AJ$101,0)),"")</f>
        <v>Ryzen 5</v>
      </c>
      <c r="C77" s="37" t="n">
        <f aca="false">IF(B77="","",COUNTIFS(Clean!$P$2:$P$101,B77,Clean!$AE$2:$AE$101,1))</f>
        <v>3</v>
      </c>
      <c r="D77" s="40" t="n">
        <f aca="false">IF(B77="","",IFERROR(AVERAGEIFS(Clean!$G$2:$G$101,Clean!$P$2:$P$101,B77,Clean!$AF$2:$AF$101,1),0))</f>
        <v>145.633333333333</v>
      </c>
      <c r="E77" s="44" t="n">
        <f aca="false">IF(B77="","",IF(C77&gt;0,C77+(26-A77)/1000,""))</f>
        <v>3.017</v>
      </c>
      <c r="F77" s="37"/>
      <c r="G77" s="37" t="n">
        <v>9</v>
      </c>
      <c r="H77" s="37" t="str">
        <f aca="false">IFERROR(INDEX($B$69:$B$93,MATCH(LARGE($E$69:$E$93,G77),$E$69:$E$93,0))&amp;" (n="&amp;INDEX($C$69:$C$93,MATCH(LARGE($E$69:$E$93,G77),$E$69:$E$93,0))&amp;")","")</f>
        <v>Ryzen 5 (n=3)</v>
      </c>
      <c r="I77" s="37" t="n">
        <f aca="false">IFERROR(INDEX($C$69:$C$93,MATCH(LARGE($E$69:$E$93,G77),$E$69:$E$93,0)),"")</f>
        <v>3</v>
      </c>
      <c r="J77" s="40" t="n">
        <f aca="false">IFERROR(INDEX($D$69:$D$93,MATCH(LARGE($E$69:$E$93,G77),$E$69:$E$93,0)),"")</f>
        <v>145.633333333333</v>
      </c>
      <c r="K77" s="37"/>
      <c r="L77" s="37"/>
    </row>
    <row r="78" customFormat="false" ht="15" hidden="false" customHeight="false" outlineLevel="0" collapsed="false">
      <c r="A78" s="37" t="n">
        <v>10</v>
      </c>
      <c r="B78" s="37" t="str">
        <f aca="false">IFERROR(INDEX(Clean!$P$2:$P$101,MATCH(A78,Clean!$AJ$2:$AJ$101,0)),"")</f>
        <v>Ryzen 3</v>
      </c>
      <c r="C78" s="37" t="n">
        <f aca="false">IF(B78="","",COUNTIFS(Clean!$P$2:$P$101,B78,Clean!$AE$2:$AE$101,1))</f>
        <v>3</v>
      </c>
      <c r="D78" s="40" t="n">
        <f aca="false">IF(B78="","",IFERROR(AVERAGEIFS(Clean!$G$2:$G$101,Clean!$P$2:$P$101,B78,Clean!$AF$2:$AF$101,1),0))</f>
        <v>126.266666666667</v>
      </c>
      <c r="E78" s="44" t="n">
        <f aca="false">IF(B78="","",IF(C78&gt;0,C78+(26-A78)/1000,""))</f>
        <v>3.016</v>
      </c>
      <c r="F78" s="37"/>
      <c r="G78" s="37" t="n">
        <v>10</v>
      </c>
      <c r="H78" s="37" t="str">
        <f aca="false">IFERROR(INDEX($B$69:$B$93,MATCH(LARGE($E$69:$E$93,G78),$E$69:$E$93,0))&amp;" (n="&amp;INDEX($C$69:$C$93,MATCH(LARGE($E$69:$E$93,G78),$E$69:$E$93,0))&amp;")","")</f>
        <v>Ryzen 3 (n=3)</v>
      </c>
      <c r="I78" s="37" t="n">
        <f aca="false">IFERROR(INDEX($C$69:$C$93,MATCH(LARGE($E$69:$E$93,G78),$E$69:$E$93,0)),"")</f>
        <v>3</v>
      </c>
      <c r="J78" s="40" t="n">
        <f aca="false">IFERROR(INDEX($D$69:$D$93,MATCH(LARGE($E$69:$E$93,G78),$E$69:$E$93,0)),"")</f>
        <v>126.266666666667</v>
      </c>
      <c r="K78" s="37"/>
      <c r="L78" s="37"/>
    </row>
    <row r="79" customFormat="false" ht="15" hidden="false" customHeight="false" outlineLevel="0" collapsed="false">
      <c r="A79" s="37" t="n">
        <v>11</v>
      </c>
      <c r="B79" s="37" t="str">
        <f aca="false">IFERROR(INDEX(Clean!$P$2:$P$101,MATCH(A79,Clean!$AJ$2:$AJ$101,0)),"")</f>
        <v>Unknown</v>
      </c>
      <c r="C79" s="37" t="n">
        <f aca="false">IF(B79="","",COUNTIFS(Clean!$P$2:$P$101,B79,Clean!$AE$2:$AE$101,1))</f>
        <v>0</v>
      </c>
      <c r="D79" s="40" t="n">
        <f aca="false">IF(B79="","",IFERROR(AVERAGEIFS(Clean!$G$2:$G$101,Clean!$P$2:$P$101,B79,Clean!$AF$2:$AF$101,1),0))</f>
        <v>0</v>
      </c>
      <c r="E79" s="44" t="str">
        <f aca="false">IF(B79="","",IF(C79&gt;0,C79+(26-A79)/1000,""))</f>
        <v/>
      </c>
      <c r="F79" s="37"/>
      <c r="G79" s="37"/>
      <c r="H79" s="37"/>
      <c r="I79" s="37"/>
      <c r="J79" s="37"/>
      <c r="K79" s="37"/>
      <c r="L79" s="37"/>
    </row>
    <row r="80" customFormat="false" ht="15" hidden="false" customHeight="false" outlineLevel="0" collapsed="false">
      <c r="A80" s="37" t="n">
        <v>12</v>
      </c>
      <c r="B80" s="37" t="str">
        <f aca="false">IFERROR(INDEX(Clean!$P$2:$P$101,MATCH(A80,Clean!$AJ$2:$AJ$101,0)),"")</f>
        <v>Ryzen 7</v>
      </c>
      <c r="C80" s="37" t="n">
        <f aca="false">IF(B80="","",COUNTIFS(Clean!$P$2:$P$101,B80,Clean!$AE$2:$AE$101,1))</f>
        <v>6</v>
      </c>
      <c r="D80" s="40" t="n">
        <f aca="false">IF(B80="","",IFERROR(AVERAGEIFS(Clean!$G$2:$G$101,Clean!$P$2:$P$101,B80,Clean!$AF$2:$AF$101,1),0))</f>
        <v>292.683333333333</v>
      </c>
      <c r="E80" s="44" t="n">
        <f aca="false">IF(B80="","",IF(C80&gt;0,C80+(26-A80)/1000,""))</f>
        <v>6.014</v>
      </c>
      <c r="F80" s="37"/>
      <c r="G80" s="37"/>
      <c r="H80" s="37"/>
      <c r="I80" s="37"/>
      <c r="J80" s="37"/>
      <c r="K80" s="37"/>
      <c r="L80" s="37"/>
    </row>
    <row r="81" customFormat="false" ht="15" hidden="false" customHeight="false" outlineLevel="0" collapsed="false">
      <c r="A81" s="37" t="n">
        <v>13</v>
      </c>
      <c r="B81" s="37" t="str">
        <f aca="false">IFERROR(INDEX(Clean!$P$2:$P$101,MATCH(A81,Clean!$AJ$2:$AJ$101,0)),"")</f>
        <v>Ultra 5</v>
      </c>
      <c r="C81" s="37" t="n">
        <f aca="false">IF(B81="","",COUNTIFS(Clean!$P$2:$P$101,B81,Clean!$AE$2:$AE$101,1))</f>
        <v>1</v>
      </c>
      <c r="D81" s="40" t="n">
        <f aca="false">IF(B81="","",IFERROR(AVERAGEIFS(Clean!$G$2:$G$101,Clean!$P$2:$P$101,B81,Clean!$AF$2:$AF$101,1),0))</f>
        <v>275</v>
      </c>
      <c r="E81" s="44" t="n">
        <f aca="false">IF(B81="","",IF(C81&gt;0,C81+(26-A81)/1000,""))</f>
        <v>1.013</v>
      </c>
      <c r="F81" s="37"/>
      <c r="G81" s="37"/>
      <c r="H81" s="37"/>
      <c r="I81" s="37"/>
      <c r="J81" s="37"/>
      <c r="K81" s="37"/>
      <c r="L81" s="37"/>
    </row>
    <row r="82" customFormat="false" ht="15" hidden="false" customHeight="false" outlineLevel="0" collapsed="false">
      <c r="A82" s="37" t="n">
        <v>14</v>
      </c>
      <c r="B82" s="37" t="str">
        <f aca="false">IFERROR(INDEX(Clean!$P$2:$P$101,MATCH(A82,Clean!$AJ$2:$AJ$101,0)),"")</f>
        <v>Core 3</v>
      </c>
      <c r="C82" s="37" t="n">
        <f aca="false">IF(B82="","",COUNTIFS(Clean!$P$2:$P$101,B82,Clean!$AE$2:$AE$101,1))</f>
        <v>1</v>
      </c>
      <c r="D82" s="40" t="n">
        <f aca="false">IF(B82="","",IFERROR(AVERAGEIFS(Clean!$G$2:$G$101,Clean!$P$2:$P$101,B82,Clean!$AF$2:$AF$101,1),0))</f>
        <v>162.2</v>
      </c>
      <c r="E82" s="44" t="n">
        <f aca="false">IF(B82="","",IF(C82&gt;0,C82+(26-A82)/1000,""))</f>
        <v>1.012</v>
      </c>
      <c r="F82" s="37"/>
      <c r="G82" s="37"/>
      <c r="H82" s="37"/>
      <c r="I82" s="37"/>
      <c r="J82" s="37"/>
      <c r="K82" s="37"/>
      <c r="L82" s="37"/>
    </row>
    <row r="83" customFormat="false" ht="15" hidden="false" customHeight="false" outlineLevel="0" collapsed="false">
      <c r="A83" s="37" t="n">
        <v>15</v>
      </c>
      <c r="B83" s="37" t="str">
        <f aca="false">IFERROR(INDEX(Clean!$P$2:$P$101,MATCH(A83,Clean!$AJ$2:$AJ$101,0)),"")</f>
        <v>Core i9</v>
      </c>
      <c r="C83" s="37" t="n">
        <f aca="false">IF(B83="","",COUNTIFS(Clean!$P$2:$P$101,B83,Clean!$AE$2:$AE$101,1))</f>
        <v>2</v>
      </c>
      <c r="D83" s="40" t="n">
        <f aca="false">IF(B83="","",IFERROR(AVERAGEIFS(Clean!$G$2:$G$101,Clean!$P$2:$P$101,B83,Clean!$AF$2:$AF$101,1),0))</f>
        <v>459.75</v>
      </c>
      <c r="E83" s="44" t="n">
        <f aca="false">IF(B83="","",IF(C83&gt;0,C83+(26-A83)/1000,""))</f>
        <v>2.011</v>
      </c>
      <c r="F83" s="37"/>
      <c r="G83" s="37"/>
      <c r="H83" s="37"/>
      <c r="I83" s="37"/>
      <c r="J83" s="37"/>
      <c r="K83" s="37"/>
      <c r="L83" s="37"/>
    </row>
    <row r="84" customFormat="false" ht="15" hidden="false" customHeight="false" outlineLevel="0" collapsed="false">
      <c r="A84" s="37" t="n">
        <v>16</v>
      </c>
      <c r="B84" s="37" t="str">
        <f aca="false">IFERROR(INDEX(Clean!$P$2:$P$101,MATCH(A84,Clean!$AJ$2:$AJ$101,0)),"")</f>
        <v>Ultra 7</v>
      </c>
      <c r="C84" s="37" t="n">
        <f aca="false">IF(B84="","",COUNTIFS(Clean!$P$2:$P$101,B84,Clean!$AE$2:$AE$101,1))</f>
        <v>1</v>
      </c>
      <c r="D84" s="40" t="n">
        <f aca="false">IF(B84="","",IFERROR(AVERAGEIFS(Clean!$G$2:$G$101,Clean!$P$2:$P$101,B84,Clean!$AF$2:$AF$101,1),0))</f>
        <v>272.5</v>
      </c>
      <c r="E84" s="44" t="n">
        <f aca="false">IF(B84="","",IF(C84&gt;0,C84+(26-A84)/1000,""))</f>
        <v>1.01</v>
      </c>
      <c r="F84" s="37"/>
      <c r="G84" s="37"/>
      <c r="H84" s="37"/>
      <c r="I84" s="37"/>
      <c r="J84" s="37"/>
      <c r="K84" s="37"/>
      <c r="L84" s="37"/>
    </row>
    <row r="85" customFormat="false" ht="15" hidden="false" customHeight="false" outlineLevel="0" collapsed="false">
      <c r="A85" s="37" t="n">
        <v>17</v>
      </c>
      <c r="B85" s="37" t="str">
        <f aca="false">IFERROR(INDEX(Clean!$P$2:$P$101,MATCH(A85,Clean!$AJ$2:$AJ$101,0)),"")</f>
        <v>Ultra 9</v>
      </c>
      <c r="C85" s="37" t="n">
        <f aca="false">IF(B85="","",COUNTIFS(Clean!$P$2:$P$101,B85,Clean!$AE$2:$AE$101,1))</f>
        <v>1</v>
      </c>
      <c r="D85" s="40" t="n">
        <f aca="false">IF(B85="","",IFERROR(AVERAGEIFS(Clean!$G$2:$G$101,Clean!$P$2:$P$101,B85,Clean!$AF$2:$AF$101,1),0))</f>
        <v>469</v>
      </c>
      <c r="E85" s="44" t="n">
        <f aca="false">IF(B85="","",IF(C85&gt;0,C85+(26-A85)/1000,""))</f>
        <v>1.009</v>
      </c>
      <c r="F85" s="37"/>
      <c r="G85" s="37"/>
      <c r="H85" s="37"/>
      <c r="I85" s="37"/>
      <c r="J85" s="37"/>
      <c r="K85" s="37"/>
      <c r="L85" s="37"/>
    </row>
    <row r="86" customFormat="false" ht="15" hidden="false" customHeight="false" outlineLevel="0" collapsed="false">
      <c r="A86" s="37" t="n">
        <v>18</v>
      </c>
      <c r="B86" s="37" t="str">
        <f aca="false">IFERROR(INDEX(Clean!$P$2:$P$101,MATCH(A86,Clean!$AJ$2:$AJ$101,0)),"")</f>
        <v/>
      </c>
      <c r="C86" s="37" t="str">
        <f aca="false">IF(B86="","",COUNTIFS(Clean!$P$2:$P$101,B86,Clean!$AE$2:$AE$101,1))</f>
        <v/>
      </c>
      <c r="D86" s="40" t="str">
        <f aca="false">IF(B86="","",IFERROR(AVERAGEIFS(Clean!$G$2:$G$101,Clean!$P$2:$P$101,B86,Clean!$AF$2:$AF$101,1),0))</f>
        <v/>
      </c>
      <c r="E86" s="44" t="str">
        <f aca="false">IF(B86="","",IF(C86&gt;0,C86+(26-A86)/1000,""))</f>
        <v/>
      </c>
      <c r="F86" s="37"/>
      <c r="G86" s="37"/>
      <c r="H86" s="37"/>
      <c r="I86" s="37"/>
      <c r="J86" s="37"/>
      <c r="K86" s="37"/>
      <c r="L86" s="37"/>
    </row>
    <row r="87" customFormat="false" ht="15" hidden="false" customHeight="false" outlineLevel="0" collapsed="false">
      <c r="A87" s="37" t="n">
        <v>19</v>
      </c>
      <c r="B87" s="37" t="str">
        <f aca="false">IFERROR(INDEX(Clean!$P$2:$P$101,MATCH(A87,Clean!$AJ$2:$AJ$101,0)),"")</f>
        <v/>
      </c>
      <c r="C87" s="37" t="str">
        <f aca="false">IF(B87="","",COUNTIFS(Clean!$P$2:$P$101,B87,Clean!$AE$2:$AE$101,1))</f>
        <v/>
      </c>
      <c r="D87" s="40" t="str">
        <f aca="false">IF(B87="","",IFERROR(AVERAGEIFS(Clean!$G$2:$G$101,Clean!$P$2:$P$101,B87,Clean!$AF$2:$AF$101,1),0))</f>
        <v/>
      </c>
      <c r="E87" s="44" t="str">
        <f aca="false">IF(B87="","",IF(C87&gt;0,C87+(26-A87)/1000,""))</f>
        <v/>
      </c>
      <c r="F87" s="37"/>
      <c r="G87" s="37"/>
      <c r="H87" s="37"/>
      <c r="I87" s="37"/>
      <c r="J87" s="37"/>
      <c r="K87" s="37"/>
      <c r="L87" s="37"/>
    </row>
    <row r="88" customFormat="false" ht="15" hidden="false" customHeight="false" outlineLevel="0" collapsed="false">
      <c r="A88" s="37" t="n">
        <v>20</v>
      </c>
      <c r="B88" s="37" t="str">
        <f aca="false">IFERROR(INDEX(Clean!$P$2:$P$101,MATCH(A88,Clean!$AJ$2:$AJ$101,0)),"")</f>
        <v/>
      </c>
      <c r="C88" s="37" t="str">
        <f aca="false">IF(B88="","",COUNTIFS(Clean!$P$2:$P$101,B88,Clean!$AE$2:$AE$101,1))</f>
        <v/>
      </c>
      <c r="D88" s="40" t="str">
        <f aca="false">IF(B88="","",IFERROR(AVERAGEIFS(Clean!$G$2:$G$101,Clean!$P$2:$P$101,B88,Clean!$AF$2:$AF$101,1),0))</f>
        <v/>
      </c>
      <c r="E88" s="44" t="str">
        <f aca="false">IF(B88="","",IF(C88&gt;0,C88+(26-A88)/1000,""))</f>
        <v/>
      </c>
      <c r="F88" s="37"/>
      <c r="G88" s="37"/>
      <c r="H88" s="37"/>
      <c r="I88" s="37"/>
      <c r="J88" s="37"/>
      <c r="K88" s="37"/>
      <c r="L88" s="37"/>
    </row>
    <row r="89" customFormat="false" ht="15" hidden="false" customHeight="false" outlineLevel="0" collapsed="false">
      <c r="A89" s="37" t="n">
        <v>21</v>
      </c>
      <c r="B89" s="37" t="str">
        <f aca="false">IFERROR(INDEX(Clean!$P$2:$P$101,MATCH(A89,Clean!$AJ$2:$AJ$101,0)),"")</f>
        <v/>
      </c>
      <c r="C89" s="37" t="str">
        <f aca="false">IF(B89="","",COUNTIFS(Clean!$P$2:$P$101,B89,Clean!$AE$2:$AE$101,1))</f>
        <v/>
      </c>
      <c r="D89" s="40" t="str">
        <f aca="false">IF(B89="","",IFERROR(AVERAGEIFS(Clean!$G$2:$G$101,Clean!$P$2:$P$101,B89,Clean!$AF$2:$AF$101,1),0))</f>
        <v/>
      </c>
      <c r="E89" s="44" t="str">
        <f aca="false">IF(B89="","",IF(C89&gt;0,C89+(26-A89)/1000,""))</f>
        <v/>
      </c>
      <c r="F89" s="37"/>
      <c r="G89" s="37"/>
      <c r="H89" s="37"/>
      <c r="I89" s="37"/>
      <c r="J89" s="37"/>
      <c r="K89" s="37"/>
      <c r="L89" s="37"/>
    </row>
    <row r="90" customFormat="false" ht="15" hidden="false" customHeight="false" outlineLevel="0" collapsed="false">
      <c r="A90" s="37" t="n">
        <v>22</v>
      </c>
      <c r="B90" s="37" t="str">
        <f aca="false">IFERROR(INDEX(Clean!$P$2:$P$101,MATCH(A90,Clean!$AJ$2:$AJ$101,0)),"")</f>
        <v/>
      </c>
      <c r="C90" s="37" t="str">
        <f aca="false">IF(B90="","",COUNTIFS(Clean!$P$2:$P$101,B90,Clean!$AE$2:$AE$101,1))</f>
        <v/>
      </c>
      <c r="D90" s="40" t="str">
        <f aca="false">IF(B90="","",IFERROR(AVERAGEIFS(Clean!$G$2:$G$101,Clean!$P$2:$P$101,B90,Clean!$AF$2:$AF$101,1),0))</f>
        <v/>
      </c>
      <c r="E90" s="44" t="str">
        <f aca="false">IF(B90="","",IF(C90&gt;0,C90+(26-A90)/1000,""))</f>
        <v/>
      </c>
      <c r="F90" s="37"/>
      <c r="G90" s="37"/>
      <c r="H90" s="37"/>
      <c r="I90" s="37"/>
      <c r="J90" s="37"/>
      <c r="K90" s="37"/>
      <c r="L90" s="37"/>
    </row>
    <row r="91" customFormat="false" ht="15" hidden="false" customHeight="false" outlineLevel="0" collapsed="false">
      <c r="A91" s="37" t="n">
        <v>23</v>
      </c>
      <c r="B91" s="37" t="str">
        <f aca="false">IFERROR(INDEX(Clean!$P$2:$P$101,MATCH(A91,Clean!$AJ$2:$AJ$101,0)),"")</f>
        <v/>
      </c>
      <c r="C91" s="37" t="str">
        <f aca="false">IF(B91="","",COUNTIFS(Clean!$P$2:$P$101,B91,Clean!$AE$2:$AE$101,1))</f>
        <v/>
      </c>
      <c r="D91" s="40" t="str">
        <f aca="false">IF(B91="","",IFERROR(AVERAGEIFS(Clean!$G$2:$G$101,Clean!$P$2:$P$101,B91,Clean!$AF$2:$AF$101,1),0))</f>
        <v/>
      </c>
      <c r="E91" s="44" t="str">
        <f aca="false">IF(B91="","",IF(C91&gt;0,C91+(26-A91)/1000,""))</f>
        <v/>
      </c>
      <c r="F91" s="37"/>
      <c r="G91" s="37"/>
      <c r="H91" s="37"/>
      <c r="I91" s="37"/>
      <c r="J91" s="37"/>
      <c r="K91" s="37"/>
      <c r="L91" s="37"/>
    </row>
    <row r="92" customFormat="false" ht="15" hidden="false" customHeight="false" outlineLevel="0" collapsed="false">
      <c r="A92" s="37" t="n">
        <v>24</v>
      </c>
      <c r="B92" s="37" t="str">
        <f aca="false">IFERROR(INDEX(Clean!$P$2:$P$101,MATCH(A92,Clean!$AJ$2:$AJ$101,0)),"")</f>
        <v/>
      </c>
      <c r="C92" s="37" t="str">
        <f aca="false">IF(B92="","",COUNTIFS(Clean!$P$2:$P$101,B92,Clean!$AE$2:$AE$101,1))</f>
        <v/>
      </c>
      <c r="D92" s="40" t="str">
        <f aca="false">IF(B92="","",IFERROR(AVERAGEIFS(Clean!$G$2:$G$101,Clean!$P$2:$P$101,B92,Clean!$AF$2:$AF$101,1),0))</f>
        <v/>
      </c>
      <c r="E92" s="44" t="str">
        <f aca="false">IF(B92="","",IF(C92&gt;0,C92+(26-A92)/1000,""))</f>
        <v/>
      </c>
      <c r="F92" s="37"/>
      <c r="G92" s="37"/>
      <c r="H92" s="37"/>
      <c r="I92" s="37"/>
      <c r="J92" s="37"/>
      <c r="K92" s="37"/>
      <c r="L92" s="37"/>
    </row>
    <row r="93" customFormat="false" ht="15" hidden="false" customHeight="false" outlineLevel="0" collapsed="false">
      <c r="A93" s="37" t="n">
        <v>25</v>
      </c>
      <c r="B93" s="37" t="str">
        <f aca="false">IFERROR(INDEX(Clean!$P$2:$P$101,MATCH(A93,Clean!$AJ$2:$AJ$101,0)),"")</f>
        <v/>
      </c>
      <c r="C93" s="37" t="str">
        <f aca="false">IF(B93="","",COUNTIFS(Clean!$P$2:$P$101,B93,Clean!$AE$2:$AE$101,1))</f>
        <v/>
      </c>
      <c r="D93" s="40" t="str">
        <f aca="false">IF(B93="","",IFERROR(AVERAGEIFS(Clean!$G$2:$G$101,Clean!$P$2:$P$101,B93,Clean!$AF$2:$AF$101,1),0))</f>
        <v/>
      </c>
      <c r="E93" s="44" t="str">
        <f aca="false">IF(B93="","",IF(C93&gt;0,C93+(26-A93)/1000,""))</f>
        <v/>
      </c>
      <c r="F93" s="37"/>
      <c r="G93" s="37"/>
      <c r="H93" s="37"/>
      <c r="I93" s="37"/>
      <c r="J93" s="37"/>
      <c r="K93" s="37"/>
      <c r="L93" s="37"/>
    </row>
    <row r="94" customFormat="false" ht="15" hidden="false" customHeight="fals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customFormat="false" ht="15" hidden="false" customHeight="fals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</row>
    <row r="96" customFormat="false" ht="15" hidden="false" customHeight="false" outlineLevel="0" collapsed="false">
      <c r="A96" s="36" t="s">
        <v>92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customFormat="false" ht="15" hidden="false" customHeight="false" outlineLevel="0" collapsed="false">
      <c r="A97" s="38" t="s">
        <v>7</v>
      </c>
      <c r="B97" s="38" t="s">
        <v>71</v>
      </c>
      <c r="C97" s="38" t="s">
        <v>72</v>
      </c>
      <c r="D97" s="38" t="s">
        <v>93</v>
      </c>
      <c r="E97" s="38" t="s">
        <v>73</v>
      </c>
      <c r="F97" s="38" t="s">
        <v>94</v>
      </c>
      <c r="G97" s="37"/>
      <c r="H97" s="37"/>
      <c r="I97" s="37"/>
      <c r="J97" s="37"/>
      <c r="K97" s="37"/>
      <c r="L97" s="37"/>
    </row>
    <row r="98" customFormat="false" ht="15" hidden="false" customHeight="false" outlineLevel="0" collapsed="false">
      <c r="A98" s="37" t="s">
        <v>95</v>
      </c>
      <c r="B98" s="37" t="n">
        <f aca="false">COUNTIFS(Clean!$Z$2:$Z$101,A98,Clean!$AE$2:$AE$101,1)</f>
        <v>33</v>
      </c>
      <c r="C98" s="40" t="n">
        <f aca="false">IFERROR(AVERAGEIFS(Clean!$G$2:$G$101,Clean!$Z$2:$Z$101,A98,Clean!$AF$2:$AF$101,1),0)</f>
        <v>343.830303030303</v>
      </c>
      <c r="D98" s="41" t="n">
        <f aca="false">IFERROR(AVERAGEIFS(Clean!$W$2:$W$101,Clean!$Z$2:$Z$101,A98,Clean!$AE$2:$AE$101,1),0)</f>
        <v>2.28242424242424</v>
      </c>
      <c r="E98" s="41" t="n">
        <f aca="false">IFERROR(SUMPRODUCT((Clean!$Z$2:$Z$101=A98)*Clean!$AG$2:$AG$101*Clean!$K$2:$K$101*Clean!$L$2:$L$101)/SUMPRODUCT((Clean!$Z$2:$Z$101=A98)*Clean!$AG$2:$AG$101*Clean!$L$2:$L$101),0)</f>
        <v>4.37979094076655</v>
      </c>
      <c r="F98" s="45" t="n">
        <f aca="false">IFERROR(AVERAGEIFS(Clean!$Q$2:$Q$101,Clean!$Z$2:$Z$101,A98,Clean!$AE$2:$AE$101,1),0)</f>
        <v>19.1515151515152</v>
      </c>
      <c r="G98" s="37"/>
      <c r="H98" s="37"/>
      <c r="I98" s="37"/>
      <c r="J98" s="37"/>
      <c r="K98" s="37"/>
      <c r="L98" s="37"/>
    </row>
    <row r="99" customFormat="false" ht="15" hidden="false" customHeight="false" outlineLevel="0" collapsed="false">
      <c r="A99" s="37" t="s">
        <v>96</v>
      </c>
      <c r="B99" s="37" t="n">
        <f aca="false">COUNTIFS(Clean!$Z$2:$Z$101,A99,Clean!$AE$2:$AE$101,1)</f>
        <v>66</v>
      </c>
      <c r="C99" s="40" t="n">
        <f aca="false">IFERROR(AVERAGEIFS(Clean!$G$2:$G$101,Clean!$Z$2:$Z$101,A99,Clean!$AF$2:$AF$101,1),0)</f>
        <v>184.748303030303</v>
      </c>
      <c r="D99" s="41" t="n">
        <f aca="false">IFERROR(AVERAGEIFS(Clean!$W$2:$W$101,Clean!$Z$2:$Z$101,A99,Clean!$AE$2:$AE$101,1),0)</f>
        <v>1.60516666666667</v>
      </c>
      <c r="E99" s="41" t="n">
        <f aca="false">IFERROR(SUMPRODUCT((Clean!$Z$2:$Z$101=A99)*Clean!$AG$2:$AG$101*Clean!$K$2:$K$101*Clean!$L$2:$L$101)/SUMPRODUCT((Clean!$Z$2:$Z$101=A99)*Clean!$AG$2:$AG$101*Clean!$L$2:$L$101),0)</f>
        <v>4.10635118306351</v>
      </c>
      <c r="F99" s="45" t="n">
        <f aca="false">IFERROR(AVERAGEIFS(Clean!$Q$2:$Q$101,Clean!$Z$2:$Z$101,A99,Clean!$AE$2:$AE$101,1),0)</f>
        <v>13.030303030303</v>
      </c>
      <c r="G99" s="37"/>
      <c r="H99" s="37"/>
      <c r="I99" s="37"/>
      <c r="J99" s="37"/>
      <c r="K99" s="37"/>
      <c r="L99" s="37"/>
    </row>
    <row r="100" customFormat="false" ht="15" hidden="false" customHeight="fals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customFormat="false" ht="15" hidden="false" customHeight="fals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</row>
    <row r="102" customFormat="false" ht="15" hidden="false" customHeight="false" outlineLevel="0" collapsed="false">
      <c r="A102" s="36" t="s">
        <v>97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customFormat="false" ht="15" hidden="false" customHeight="false" outlineLevel="0" collapsed="false">
      <c r="A103" s="38" t="s">
        <v>98</v>
      </c>
      <c r="B103" s="38" t="s">
        <v>99</v>
      </c>
      <c r="C103" s="38" t="s">
        <v>100</v>
      </c>
      <c r="D103" s="38" t="s">
        <v>101</v>
      </c>
      <c r="E103" s="37"/>
      <c r="F103" s="38" t="s">
        <v>98</v>
      </c>
      <c r="G103" s="38" t="s">
        <v>99</v>
      </c>
      <c r="H103" s="38" t="s">
        <v>100</v>
      </c>
      <c r="I103" s="38" t="s">
        <v>101</v>
      </c>
      <c r="J103" s="37"/>
      <c r="K103" s="37"/>
      <c r="L103" s="37"/>
    </row>
    <row r="104" customFormat="false" ht="15" hidden="false" customHeight="false" outlineLevel="0" collapsed="false">
      <c r="A104" s="37" t="s">
        <v>102</v>
      </c>
      <c r="B104" s="40" t="n">
        <f aca="false">IF(G104=0,"–",AVERAGEIFS(Clean!$G$2:$G$101,Clean!$R$2:$R$101,$A104,Clean!$U$2:$U$101,B$103,Clean!$AF$2:$AF$101,1))</f>
        <v>117.9469</v>
      </c>
      <c r="C104" s="40" t="n">
        <f aca="false">IF(H104=0,"–",AVERAGEIFS(Clean!$G$2:$G$101,Clean!$R$2:$R$101,$A104,Clean!$U$2:$U$101,C$103,Clean!$AF$2:$AF$101,1))</f>
        <v>152.348894736842</v>
      </c>
      <c r="D104" s="40" t="n">
        <f aca="false">IF(I104=0,"–",AVERAGEIFS(Clean!$G$2:$G$101,Clean!$R$2:$R$101,$A104,Clean!$U$2:$U$101,D$103,Clean!$AF$2:$AF$101,1))</f>
        <v>121</v>
      </c>
      <c r="E104" s="37"/>
      <c r="F104" s="37" t="s">
        <v>102</v>
      </c>
      <c r="G104" s="37" t="n">
        <f aca="false">COUNTIFS(Clean!$R$2:$R$101,$A104,Clean!$U$2:$U$101,B$103,Clean!$AF$2:$AF$101,1)</f>
        <v>10</v>
      </c>
      <c r="H104" s="37" t="n">
        <f aca="false">COUNTIFS(Clean!$R$2:$R$101,$A104,Clean!$U$2:$U$101,C$103,Clean!$AF$2:$AF$101,1)</f>
        <v>19</v>
      </c>
      <c r="I104" s="37" t="n">
        <f aca="false">COUNTIFS(Clean!$R$2:$R$101,$A104,Clean!$U$2:$U$101,D$103,Clean!$AF$2:$AF$101,1)</f>
        <v>1</v>
      </c>
      <c r="J104" s="37"/>
      <c r="K104" s="37"/>
      <c r="L104" s="37"/>
    </row>
    <row r="105" customFormat="false" ht="15" hidden="false" customHeight="false" outlineLevel="0" collapsed="false">
      <c r="A105" s="37" t="s">
        <v>103</v>
      </c>
      <c r="B105" s="40" t="n">
        <f aca="false">IF(G105=0,"–",AVERAGEIFS(Clean!$G$2:$G$101,Clean!$R$2:$R$101,$A105,Clean!$U$2:$U$101,B$103,Clean!$AF$2:$AF$101,1))</f>
        <v>131.4</v>
      </c>
      <c r="C105" s="40" t="n">
        <f aca="false">IF(H105=0,"–",AVERAGEIFS(Clean!$G$2:$G$101,Clean!$R$2:$R$101,$A105,Clean!$U$2:$U$101,C$103,Clean!$AF$2:$AF$101,1))</f>
        <v>241.099714285714</v>
      </c>
      <c r="D105" s="40" t="n">
        <f aca="false">IF(I105=0,"–",AVERAGEIFS(Clean!$G$2:$G$101,Clean!$R$2:$R$101,$A105,Clean!$U$2:$U$101,D$103,Clean!$AF$2:$AF$101,1))</f>
        <v>312.468421052632</v>
      </c>
      <c r="E105" s="37"/>
      <c r="F105" s="37" t="s">
        <v>103</v>
      </c>
      <c r="G105" s="37" t="n">
        <f aca="false">COUNTIFS(Clean!$R$2:$R$101,$A105,Clean!$U$2:$U$101,B$103,Clean!$AF$2:$AF$101,1)</f>
        <v>2</v>
      </c>
      <c r="H105" s="37" t="n">
        <f aca="false">COUNTIFS(Clean!$R$2:$R$101,$A105,Clean!$U$2:$U$101,C$103,Clean!$AF$2:$AF$101,1)</f>
        <v>35</v>
      </c>
      <c r="I105" s="37" t="n">
        <f aca="false">COUNTIFS(Clean!$R$2:$R$101,$A105,Clean!$U$2:$U$101,D$103,Clean!$AF$2:$AF$101,1)</f>
        <v>19</v>
      </c>
      <c r="J105" s="37"/>
      <c r="K105" s="37"/>
      <c r="L105" s="37"/>
    </row>
    <row r="106" customFormat="false" ht="15" hidden="false" customHeight="false" outlineLevel="0" collapsed="false">
      <c r="A106" s="37" t="s">
        <v>104</v>
      </c>
      <c r="B106" s="40" t="str">
        <f aca="false">IF(G106=0,"–",AVERAGEIFS(Clean!$G$2:$G$101,Clean!$R$2:$R$101,$A106,Clean!$U$2:$U$101,B$103,Clean!$AF$2:$AF$101,1))</f>
        <v>–</v>
      </c>
      <c r="C106" s="40" t="n">
        <f aca="false">IF(H106=0,"–",AVERAGEIFS(Clean!$G$2:$G$101,Clean!$R$2:$R$101,$A106,Clean!$U$2:$U$101,C$103,Clean!$AF$2:$AF$101,1))</f>
        <v>287.066666666667</v>
      </c>
      <c r="D106" s="40" t="n">
        <f aca="false">IF(I106=0,"–",AVERAGEIFS(Clean!$G$2:$G$101,Clean!$R$2:$R$101,$A106,Clean!$U$2:$U$101,D$103,Clean!$AF$2:$AF$101,1))</f>
        <v>404.625</v>
      </c>
      <c r="E106" s="37"/>
      <c r="F106" s="37" t="s">
        <v>104</v>
      </c>
      <c r="G106" s="37" t="n">
        <f aca="false">COUNTIFS(Clean!$R$2:$R$101,$A106,Clean!$U$2:$U$101,B$103,Clean!$AF$2:$AF$101,1)</f>
        <v>0</v>
      </c>
      <c r="H106" s="37" t="n">
        <f aca="false">COUNTIFS(Clean!$R$2:$R$101,$A106,Clean!$U$2:$U$101,C$103,Clean!$AF$2:$AF$101,1)</f>
        <v>3</v>
      </c>
      <c r="I106" s="37" t="n">
        <f aca="false">COUNTIFS(Clean!$R$2:$R$101,$A106,Clean!$U$2:$U$101,D$103,Clean!$AF$2:$AF$101,1)</f>
        <v>8</v>
      </c>
      <c r="J106" s="37"/>
      <c r="K106" s="37"/>
      <c r="L106" s="37"/>
    </row>
    <row r="107" customFormat="false" ht="15" hidden="false" customHeight="fals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</row>
    <row r="108" customFormat="false" ht="15" hidden="false" customHeight="fals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customFormat="false" ht="15" hidden="false" customHeight="false" outlineLevel="0" collapsed="false">
      <c r="A109" s="36" t="s">
        <v>105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</row>
    <row r="110" customFormat="false" ht="23.85" hidden="false" customHeight="false" outlineLevel="0" collapsed="false">
      <c r="A110" s="38" t="s">
        <v>69</v>
      </c>
      <c r="B110" s="38" t="s">
        <v>106</v>
      </c>
      <c r="C110" s="38" t="s">
        <v>107</v>
      </c>
      <c r="D110" s="38" t="s">
        <v>108</v>
      </c>
      <c r="E110" s="38" t="s">
        <v>109</v>
      </c>
      <c r="F110" s="38" t="s">
        <v>110</v>
      </c>
      <c r="G110" s="38" t="s">
        <v>111</v>
      </c>
      <c r="H110" s="37"/>
      <c r="I110" s="37"/>
      <c r="J110" s="37"/>
      <c r="K110" s="37"/>
      <c r="L110" s="37"/>
    </row>
    <row r="111" customFormat="false" ht="15" hidden="false" customHeight="false" outlineLevel="0" collapsed="false">
      <c r="A111" s="37" t="s">
        <v>112</v>
      </c>
      <c r="B111" s="37" t="n">
        <f aca="false">SUM(Clean!$AM$2:$AM$101)</f>
        <v>33</v>
      </c>
      <c r="C111" s="37"/>
      <c r="D111" s="37" t="n">
        <f aca="false">SUM(Clean!$AO$2:$AO$101)</f>
        <v>60</v>
      </c>
      <c r="E111" s="37"/>
      <c r="F111" s="37" t="n">
        <f aca="false">SUM(Clean!$AQ$2:$AQ$101)</f>
        <v>99</v>
      </c>
      <c r="G111" s="37"/>
      <c r="H111" s="37"/>
      <c r="I111" s="37"/>
      <c r="J111" s="37"/>
      <c r="K111" s="37"/>
      <c r="L111" s="37"/>
    </row>
    <row r="112" customFormat="false" ht="15" hidden="false" customHeight="false" outlineLevel="0" collapsed="false">
      <c r="A112" s="37" t="n">
        <v>1</v>
      </c>
      <c r="B112" s="41" t="n">
        <f aca="false">IF($B$111=0,0,INDEX(Clean!$W$2:$W$101,MATCH(MIN($A112,$B$111),Clean!$AN$2:$AN$101,0)))</f>
        <v>1.98</v>
      </c>
      <c r="C112" s="40" t="n">
        <f aca="false">IF($B$111=0,0,INDEX(Clean!$G$2:$G$101,MATCH(MIN($A112,$B$111),Clean!$AN$2:$AN$101,0)))</f>
        <v>272</v>
      </c>
      <c r="D112" s="41" t="n">
        <f aca="false">IF($D$111=0,0,INDEX(Clean!$W$2:$W$101,MATCH(MIN($A112,$D$111),Clean!$AP$2:$AP$101,0)))</f>
        <v>1.6</v>
      </c>
      <c r="E112" s="40" t="n">
        <f aca="false">IF($D$111=0,0,INDEX(Clean!$G$2:$G$101,MATCH(MIN($A112,$D$111),Clean!$AP$2:$AP$101,0)))</f>
        <v>125.499</v>
      </c>
      <c r="F112" s="40" t="n">
        <f aca="false">IF($F$111=0,0,INDEX(Clean!$G$2:$G$101,MATCH(MIN($A112,$F$111),Clean!$AR$2:$AR$101,0)))</f>
        <v>125.499</v>
      </c>
      <c r="G112" s="45" t="n">
        <f aca="false">IF($F$111=0,0,INDEX(Clean!$K$2:$K$101,MATCH(MIN($A112,$F$111),Clean!$AR$2:$AR$101,0)))</f>
        <v>4.2</v>
      </c>
      <c r="H112" s="37"/>
      <c r="I112" s="37"/>
      <c r="J112" s="37"/>
      <c r="K112" s="37"/>
      <c r="L112" s="37"/>
    </row>
    <row r="113" customFormat="false" ht="15" hidden="false" customHeight="false" outlineLevel="0" collapsed="false">
      <c r="A113" s="37" t="n">
        <v>2</v>
      </c>
      <c r="B113" s="41" t="n">
        <f aca="false">IF($B$111=0,0,INDEX(Clean!$W$2:$W$101,MATCH(MIN($A113,$B$111),Clean!$AN$2:$AN$101,0)))</f>
        <v>2.29</v>
      </c>
      <c r="C113" s="40" t="n">
        <f aca="false">IF($B$111=0,0,INDEX(Clean!$G$2:$G$101,MATCH(MIN($A113,$B$111),Clean!$AN$2:$AN$101,0)))</f>
        <v>275</v>
      </c>
      <c r="D113" s="41" t="n">
        <f aca="false">IF($D$111=0,0,INDEX(Clean!$W$2:$W$101,MATCH(MIN($A113,$D$111),Clean!$AP$2:$AP$101,0)))</f>
        <v>1.3</v>
      </c>
      <c r="E113" s="40" t="n">
        <f aca="false">IF($D$111=0,0,INDEX(Clean!$G$2:$G$101,MATCH(MIN($A113,$D$111),Clean!$AP$2:$AP$101,0)))</f>
        <v>65.5</v>
      </c>
      <c r="F113" s="40" t="n">
        <f aca="false">IF($F$111=0,0,INDEX(Clean!$G$2:$G$101,MATCH(MIN($A113,$F$111),Clean!$AR$2:$AR$101,0)))</f>
        <v>272</v>
      </c>
      <c r="G113" s="45" t="n">
        <f aca="false">IF($F$111=0,0,INDEX(Clean!$K$2:$K$101,MATCH(MIN($A113,$F$111),Clean!$AR$2:$AR$101,0)))</f>
        <v>5</v>
      </c>
      <c r="H113" s="37"/>
      <c r="I113" s="37"/>
      <c r="J113" s="37"/>
      <c r="K113" s="37"/>
      <c r="L113" s="37"/>
    </row>
    <row r="114" customFormat="false" ht="15" hidden="false" customHeight="false" outlineLevel="0" collapsed="false">
      <c r="A114" s="37" t="n">
        <v>3</v>
      </c>
      <c r="B114" s="41" t="n">
        <f aca="false">IF($B$111=0,0,INDEX(Clean!$W$2:$W$101,MATCH(MIN($A114,$B$111),Clean!$AN$2:$AN$101,0)))</f>
        <v>2.2</v>
      </c>
      <c r="C114" s="40" t="n">
        <f aca="false">IF($B$111=0,0,INDEX(Clean!$G$2:$G$101,MATCH(MIN($A114,$B$111),Clean!$AN$2:$AN$101,0)))</f>
        <v>242</v>
      </c>
      <c r="D114" s="41" t="n">
        <f aca="false">IF($D$111=0,0,INDEX(Clean!$W$2:$W$101,MATCH(MIN($A114,$D$111),Clean!$AP$2:$AP$101,0)))</f>
        <v>1.55</v>
      </c>
      <c r="E114" s="40" t="n">
        <f aca="false">IF($D$111=0,0,INDEX(Clean!$G$2:$G$101,MATCH(MIN($A114,$D$111),Clean!$AP$2:$AP$101,0)))</f>
        <v>94.5</v>
      </c>
      <c r="F114" s="40" t="n">
        <f aca="false">IF($F$111=0,0,INDEX(Clean!$G$2:$G$101,MATCH(MIN($A114,$F$111),Clean!$AR$2:$AR$101,0)))</f>
        <v>185</v>
      </c>
      <c r="G114" s="45" t="n">
        <f aca="false">IF($F$111=0,0,INDEX(Clean!$K$2:$K$101,MATCH(MIN($A114,$F$111),Clean!$AR$2:$AR$101,0)))</f>
        <v>3.8</v>
      </c>
      <c r="H114" s="37"/>
      <c r="I114" s="37"/>
      <c r="J114" s="37"/>
      <c r="K114" s="37"/>
      <c r="L114" s="37"/>
    </row>
    <row r="115" customFormat="false" ht="15" hidden="false" customHeight="false" outlineLevel="0" collapsed="false">
      <c r="A115" s="37" t="n">
        <v>4</v>
      </c>
      <c r="B115" s="41" t="n">
        <f aca="false">IF($B$111=0,0,INDEX(Clean!$W$2:$W$101,MATCH(MIN($A115,$B$111),Clean!$AN$2:$AN$101,0)))</f>
        <v>2.2</v>
      </c>
      <c r="C115" s="40" t="n">
        <f aca="false">IF($B$111=0,0,INDEX(Clean!$G$2:$G$101,MATCH(MIN($A115,$B$111),Clean!$AN$2:$AN$101,0)))</f>
        <v>229</v>
      </c>
      <c r="D115" s="41" t="n">
        <f aca="false">IF($D$111=0,0,INDEX(Clean!$W$2:$W$101,MATCH(MIN($A115,$D$111),Clean!$AP$2:$AP$101,0)))</f>
        <v>1.7</v>
      </c>
      <c r="E115" s="40" t="n">
        <f aca="false">IF($D$111=0,0,INDEX(Clean!$G$2:$G$101,MATCH(MIN($A115,$D$111),Clean!$AP$2:$AP$101,0)))</f>
        <v>196.6</v>
      </c>
      <c r="F115" s="40" t="n">
        <f aca="false">IF($F$111=0,0,INDEX(Clean!$G$2:$G$101,MATCH(MIN($A115,$F$111),Clean!$AR$2:$AR$101,0)))</f>
        <v>65.5</v>
      </c>
      <c r="G115" s="45" t="n">
        <f aca="false">IF($F$111=0,0,INDEX(Clean!$K$2:$K$101,MATCH(MIN($A115,$F$111),Clean!$AR$2:$AR$101,0)))</f>
        <v>4</v>
      </c>
      <c r="H115" s="37"/>
      <c r="I115" s="37"/>
      <c r="J115" s="37"/>
      <c r="K115" s="37"/>
      <c r="L115" s="37"/>
    </row>
    <row r="116" customFormat="false" ht="15" hidden="false" customHeight="false" outlineLevel="0" collapsed="false">
      <c r="A116" s="37" t="n">
        <v>5</v>
      </c>
      <c r="B116" s="41" t="n">
        <f aca="false">IF($B$111=0,0,INDEX(Clean!$W$2:$W$101,MATCH(MIN($A116,$B$111),Clean!$AN$2:$AN$101,0)))</f>
        <v>2.4</v>
      </c>
      <c r="C116" s="40" t="n">
        <f aca="false">IF($B$111=0,0,INDEX(Clean!$G$2:$G$101,MATCH(MIN($A116,$B$111),Clean!$AN$2:$AN$101,0)))</f>
        <v>400</v>
      </c>
      <c r="D116" s="41" t="n">
        <f aca="false">IF($D$111=0,0,INDEX(Clean!$W$2:$W$101,MATCH(MIN($A116,$D$111),Clean!$AP$2:$AP$101,0)))</f>
        <v>1.6</v>
      </c>
      <c r="E116" s="40" t="n">
        <f aca="false">IF($D$111=0,0,INDEX(Clean!$G$2:$G$101,MATCH(MIN($A116,$D$111),Clean!$AP$2:$AP$101,0)))</f>
        <v>178</v>
      </c>
      <c r="F116" s="40" t="n">
        <f aca="false">IF($F$111=0,0,INDEX(Clean!$G$2:$G$101,MATCH(MIN($A116,$F$111),Clean!$AR$2:$AR$101,0)))</f>
        <v>275</v>
      </c>
      <c r="G116" s="45" t="n">
        <f aca="false">IF($F$111=0,0,INDEX(Clean!$K$2:$K$101,MATCH(MIN($A116,$F$111),Clean!$AR$2:$AR$101,0)))</f>
        <v>4.2</v>
      </c>
      <c r="H116" s="37"/>
      <c r="I116" s="37"/>
      <c r="J116" s="37"/>
      <c r="K116" s="37"/>
      <c r="L116" s="37"/>
    </row>
    <row r="117" customFormat="false" ht="15" hidden="false" customHeight="false" outlineLevel="0" collapsed="false">
      <c r="A117" s="37" t="n">
        <v>6</v>
      </c>
      <c r="B117" s="41" t="n">
        <f aca="false">IF($B$111=0,0,INDEX(Clean!$W$2:$W$101,MATCH(MIN($A117,$B$111),Clean!$AN$2:$AN$101,0)))</f>
        <v>2.4</v>
      </c>
      <c r="C117" s="40" t="n">
        <f aca="false">IF($B$111=0,0,INDEX(Clean!$G$2:$G$101,MATCH(MIN($A117,$B$111),Clean!$AN$2:$AN$101,0)))</f>
        <v>308</v>
      </c>
      <c r="D117" s="41" t="n">
        <f aca="false">IF($D$111=0,0,INDEX(Clean!$W$2:$W$101,MATCH(MIN($A117,$D$111),Clean!$AP$2:$AP$101,0)))</f>
        <v>1.7</v>
      </c>
      <c r="E117" s="40" t="n">
        <f aca="false">IF($D$111=0,0,INDEX(Clean!$G$2:$G$101,MATCH(MIN($A117,$D$111),Clean!$AP$2:$AP$101,0)))</f>
        <v>199.3</v>
      </c>
      <c r="F117" s="40" t="n">
        <f aca="false">IF($F$111=0,0,INDEX(Clean!$G$2:$G$101,MATCH(MIN($A117,$F$111),Clean!$AR$2:$AR$101,0)))</f>
        <v>242</v>
      </c>
      <c r="G117" s="45" t="n">
        <f aca="false">IF($F$111=0,0,INDEX(Clean!$K$2:$K$101,MATCH(MIN($A117,$F$111),Clean!$AR$2:$AR$101,0)))</f>
        <v>4.4</v>
      </c>
      <c r="H117" s="37"/>
      <c r="I117" s="37"/>
      <c r="J117" s="37"/>
      <c r="K117" s="37"/>
      <c r="L117" s="37"/>
    </row>
    <row r="118" customFormat="false" ht="15" hidden="false" customHeight="false" outlineLevel="0" collapsed="false">
      <c r="A118" s="37" t="n">
        <v>7</v>
      </c>
      <c r="B118" s="41" t="n">
        <f aca="false">IF($B$111=0,0,INDEX(Clean!$W$2:$W$101,MATCH(MIN($A118,$B$111),Clean!$AN$2:$AN$101,0)))</f>
        <v>2.4</v>
      </c>
      <c r="C118" s="40" t="n">
        <f aca="false">IF($B$111=0,0,INDEX(Clean!$G$2:$G$101,MATCH(MIN($A118,$B$111),Clean!$AN$2:$AN$101,0)))</f>
        <v>346</v>
      </c>
      <c r="D118" s="41" t="n">
        <f aca="false">IF($D$111=0,0,INDEX(Clean!$W$2:$W$101,MATCH(MIN($A118,$D$111),Clean!$AP$2:$AP$101,0)))</f>
        <v>1.7</v>
      </c>
      <c r="E118" s="40" t="n">
        <f aca="false">IF($D$111=0,0,INDEX(Clean!$G$2:$G$101,MATCH(MIN($A118,$D$111),Clean!$AP$2:$AP$101,0)))</f>
        <v>225.5</v>
      </c>
      <c r="F118" s="40" t="n">
        <f aca="false">IF($F$111=0,0,INDEX(Clean!$G$2:$G$101,MATCH(MIN($A118,$F$111),Clean!$AR$2:$AR$101,0)))</f>
        <v>220.2</v>
      </c>
      <c r="G118" s="45" t="n">
        <f aca="false">IF($F$111=0,0,INDEX(Clean!$K$2:$K$101,MATCH(MIN($A118,$F$111),Clean!$AR$2:$AR$101,0)))</f>
        <v>3.2</v>
      </c>
      <c r="H118" s="37"/>
      <c r="I118" s="37"/>
      <c r="J118" s="37"/>
      <c r="K118" s="37"/>
      <c r="L118" s="37"/>
    </row>
    <row r="119" customFormat="false" ht="15" hidden="false" customHeight="false" outlineLevel="0" collapsed="false">
      <c r="A119" s="37" t="n">
        <v>8</v>
      </c>
      <c r="B119" s="41" t="n">
        <f aca="false">IF($B$111=0,0,INDEX(Clean!$W$2:$W$101,MATCH(MIN($A119,$B$111),Clean!$AN$2:$AN$101,0)))</f>
        <v>2.29</v>
      </c>
      <c r="C119" s="40" t="n">
        <f aca="false">IF($B$111=0,0,INDEX(Clean!$G$2:$G$101,MATCH(MIN($A119,$B$111),Clean!$AN$2:$AN$101,0)))</f>
        <v>259</v>
      </c>
      <c r="D119" s="41" t="n">
        <f aca="false">IF($D$111=0,0,INDEX(Clean!$W$2:$W$101,MATCH(MIN($A119,$D$111),Clean!$AP$2:$AP$101,0)))</f>
        <v>1.6</v>
      </c>
      <c r="E119" s="40" t="n">
        <f aca="false">IF($D$111=0,0,INDEX(Clean!$G$2:$G$101,MATCH(MIN($A119,$D$111),Clean!$AP$2:$AP$101,0)))</f>
        <v>117.999</v>
      </c>
      <c r="F119" s="40" t="n">
        <f aca="false">IF($F$111=0,0,INDEX(Clean!$G$2:$G$101,MATCH(MIN($A119,$F$111),Clean!$AR$2:$AR$101,0)))</f>
        <v>94.5</v>
      </c>
      <c r="G119" s="45" t="n">
        <f aca="false">IF($F$111=0,0,INDEX(Clean!$K$2:$K$101,MATCH(MIN($A119,$F$111),Clean!$AR$2:$AR$101,0)))</f>
        <v>4.7</v>
      </c>
      <c r="H119" s="37"/>
      <c r="I119" s="37"/>
      <c r="J119" s="37"/>
      <c r="K119" s="37"/>
      <c r="L119" s="37"/>
    </row>
    <row r="120" customFormat="false" ht="15" hidden="false" customHeight="false" outlineLevel="0" collapsed="false">
      <c r="A120" s="37" t="n">
        <v>9</v>
      </c>
      <c r="B120" s="41" t="n">
        <f aca="false">IF($B$111=0,0,INDEX(Clean!$W$2:$W$101,MATCH(MIN($A120,$B$111),Clean!$AN$2:$AN$101,0)))</f>
        <v>2.29</v>
      </c>
      <c r="C120" s="40" t="n">
        <f aca="false">IF($B$111=0,0,INDEX(Clean!$G$2:$G$101,MATCH(MIN($A120,$B$111),Clean!$AN$2:$AN$101,0)))</f>
        <v>310</v>
      </c>
      <c r="D120" s="41" t="n">
        <f aca="false">IF($D$111=0,0,INDEX(Clean!$W$2:$W$101,MATCH(MIN($A120,$D$111),Clean!$AP$2:$AP$101,0)))</f>
        <v>1.7</v>
      </c>
      <c r="E120" s="40" t="n">
        <f aca="false">IF($D$111=0,0,INDEX(Clean!$G$2:$G$101,MATCH(MIN($A120,$D$111),Clean!$AP$2:$AP$101,0)))</f>
        <v>181</v>
      </c>
      <c r="F120" s="40" t="n">
        <f aca="false">IF($F$111=0,0,INDEX(Clean!$G$2:$G$101,MATCH(MIN($A120,$F$111),Clean!$AR$2:$AR$101,0)))</f>
        <v>196.6</v>
      </c>
      <c r="G120" s="45" t="n">
        <f aca="false">IF($F$111=0,0,INDEX(Clean!$K$2:$K$101,MATCH(MIN($A120,$F$111),Clean!$AR$2:$AR$101,0)))</f>
        <v>5</v>
      </c>
      <c r="H120" s="37"/>
      <c r="I120" s="37"/>
      <c r="J120" s="37"/>
      <c r="K120" s="37"/>
      <c r="L120" s="37"/>
    </row>
    <row r="121" customFormat="false" ht="15" hidden="false" customHeight="false" outlineLevel="0" collapsed="false">
      <c r="A121" s="37" t="n">
        <v>10</v>
      </c>
      <c r="B121" s="41" t="n">
        <f aca="false">IF($B$111=0,0,INDEX(Clean!$W$2:$W$101,MATCH(MIN($A121,$B$111),Clean!$AN$2:$AN$101,0)))</f>
        <v>2.2</v>
      </c>
      <c r="C121" s="40" t="n">
        <f aca="false">IF($B$111=0,0,INDEX(Clean!$G$2:$G$101,MATCH(MIN($A121,$B$111),Clean!$AN$2:$AN$101,0)))</f>
        <v>437.5</v>
      </c>
      <c r="D121" s="41" t="n">
        <f aca="false">IF($D$111=0,0,INDEX(Clean!$W$2:$W$101,MATCH(MIN($A121,$D$111),Clean!$AP$2:$AP$101,0)))</f>
        <v>1.23</v>
      </c>
      <c r="E121" s="40" t="n">
        <f aca="false">IF($D$111=0,0,INDEX(Clean!$G$2:$G$101,MATCH(MIN($A121,$D$111),Clean!$AP$2:$AP$101,0)))</f>
        <v>245.73</v>
      </c>
      <c r="F121" s="40" t="n">
        <f aca="false">IF($F$111=0,0,INDEX(Clean!$G$2:$G$101,MATCH(MIN($A121,$F$111),Clean!$AR$2:$AR$101,0)))</f>
        <v>178</v>
      </c>
      <c r="G121" s="45" t="n">
        <f aca="false">IF($F$111=0,0,INDEX(Clean!$K$2:$K$101,MATCH(MIN($A121,$F$111),Clean!$AR$2:$AR$101,0)))</f>
        <v>4.1</v>
      </c>
      <c r="H121" s="37"/>
      <c r="I121" s="37"/>
      <c r="J121" s="37"/>
      <c r="K121" s="37"/>
      <c r="L121" s="37"/>
    </row>
    <row r="122" customFormat="false" ht="15" hidden="false" customHeight="false" outlineLevel="0" collapsed="false">
      <c r="A122" s="37" t="n">
        <v>11</v>
      </c>
      <c r="B122" s="41" t="n">
        <f aca="false">IF($B$111=0,0,INDEX(Clean!$W$2:$W$101,MATCH(MIN($A122,$B$111),Clean!$AN$2:$AN$101,0)))</f>
        <v>2.2</v>
      </c>
      <c r="C122" s="40" t="n">
        <f aca="false">IF($B$111=0,0,INDEX(Clean!$G$2:$G$101,MATCH(MIN($A122,$B$111),Clean!$AN$2:$AN$101,0)))</f>
        <v>495.5</v>
      </c>
      <c r="D122" s="41" t="n">
        <f aca="false">IF($D$111=0,0,INDEX(Clean!$W$2:$W$101,MATCH(MIN($A122,$D$111),Clean!$AP$2:$AP$101,0)))</f>
        <v>1.23</v>
      </c>
      <c r="E122" s="40" t="n">
        <f aca="false">IF($D$111=0,0,INDEX(Clean!$G$2:$G$101,MATCH(MIN($A122,$D$111),Clean!$AP$2:$AP$101,0)))</f>
        <v>217.47</v>
      </c>
      <c r="F122" s="40" t="n">
        <f aca="false">IF($F$111=0,0,INDEX(Clean!$G$2:$G$101,MATCH(MIN($A122,$F$111),Clean!$AR$2:$AR$101,0)))</f>
        <v>199.3</v>
      </c>
      <c r="G122" s="45" t="n">
        <f aca="false">IF($F$111=0,0,INDEX(Clean!$K$2:$K$101,MATCH(MIN($A122,$F$111),Clean!$AR$2:$AR$101,0)))</f>
        <v>4.1</v>
      </c>
      <c r="H122" s="37"/>
      <c r="I122" s="37"/>
      <c r="J122" s="37"/>
      <c r="K122" s="37"/>
      <c r="L122" s="37"/>
    </row>
    <row r="123" customFormat="false" ht="15" hidden="false" customHeight="false" outlineLevel="0" collapsed="false">
      <c r="A123" s="37" t="n">
        <v>12</v>
      </c>
      <c r="B123" s="41" t="n">
        <f aca="false">IF($B$111=0,0,INDEX(Clean!$W$2:$W$101,MATCH(MIN($A123,$B$111),Clean!$AN$2:$AN$101,0)))</f>
        <v>2.65</v>
      </c>
      <c r="C123" s="40" t="n">
        <f aca="false">IF($B$111=0,0,INDEX(Clean!$G$2:$G$101,MATCH(MIN($A123,$B$111),Clean!$AN$2:$AN$101,0)))</f>
        <v>504</v>
      </c>
      <c r="D123" s="41" t="n">
        <f aca="false">IF($D$111=0,0,INDEX(Clean!$W$2:$W$101,MATCH(MIN($A123,$D$111),Clean!$AP$2:$AP$101,0)))</f>
        <v>1.7</v>
      </c>
      <c r="E123" s="40" t="n">
        <f aca="false">IF($D$111=0,0,INDEX(Clean!$G$2:$G$101,MATCH(MIN($A123,$D$111),Clean!$AP$2:$AP$101,0)))</f>
        <v>149.5</v>
      </c>
      <c r="F123" s="40" t="n">
        <f aca="false">IF($F$111=0,0,INDEX(Clean!$G$2:$G$101,MATCH(MIN($A123,$F$111),Clean!$AR$2:$AR$101,0)))</f>
        <v>225.5</v>
      </c>
      <c r="G123" s="45" t="n">
        <f aca="false">IF($F$111=0,0,INDEX(Clean!$K$2:$K$101,MATCH(MIN($A123,$F$111),Clean!$AR$2:$AR$101,0)))</f>
        <v>5</v>
      </c>
      <c r="H123" s="37"/>
      <c r="I123" s="37"/>
      <c r="J123" s="37"/>
      <c r="K123" s="37"/>
      <c r="L123" s="37"/>
    </row>
    <row r="124" customFormat="false" ht="15" hidden="false" customHeight="false" outlineLevel="0" collapsed="false">
      <c r="A124" s="37" t="n">
        <v>13</v>
      </c>
      <c r="B124" s="41" t="n">
        <f aca="false">IF($B$111=0,0,INDEX(Clean!$W$2:$W$101,MATCH(MIN($A124,$B$111),Clean!$AN$2:$AN$101,0)))</f>
        <v>2.38</v>
      </c>
      <c r="C124" s="40" t="n">
        <f aca="false">IF($B$111=0,0,INDEX(Clean!$G$2:$G$101,MATCH(MIN($A124,$B$111),Clean!$AN$2:$AN$101,0)))</f>
        <v>423.5</v>
      </c>
      <c r="D124" s="41" t="n">
        <f aca="false">IF($D$111=0,0,INDEX(Clean!$W$2:$W$101,MATCH(MIN($A124,$D$111),Clean!$AP$2:$AP$101,0)))</f>
        <v>1.79</v>
      </c>
      <c r="E124" s="40" t="n">
        <f aca="false">IF($D$111=0,0,INDEX(Clean!$G$2:$G$101,MATCH(MIN($A124,$D$111),Clean!$AP$2:$AP$101,0)))</f>
        <v>215</v>
      </c>
      <c r="F124" s="40" t="n">
        <f aca="false">IF($F$111=0,0,INDEX(Clean!$G$2:$G$101,MATCH(MIN($A124,$F$111),Clean!$AR$2:$AR$101,0)))</f>
        <v>117.999</v>
      </c>
      <c r="G124" s="45" t="n">
        <f aca="false">IF($F$111=0,0,INDEX(Clean!$K$2:$K$101,MATCH(MIN($A124,$F$111),Clean!$AR$2:$AR$101,0)))</f>
        <v>3.7</v>
      </c>
      <c r="H124" s="37"/>
      <c r="I124" s="37"/>
      <c r="J124" s="37"/>
      <c r="K124" s="37"/>
      <c r="L124" s="37"/>
    </row>
    <row r="125" customFormat="false" ht="15" hidden="false" customHeight="false" outlineLevel="0" collapsed="false">
      <c r="A125" s="37" t="n">
        <v>14</v>
      </c>
      <c r="B125" s="41" t="n">
        <f aca="false">IF($B$111=0,0,INDEX(Clean!$W$2:$W$101,MATCH(MIN($A125,$B$111),Clean!$AN$2:$AN$101,0)))</f>
        <v>2.2</v>
      </c>
      <c r="C125" s="40" t="n">
        <f aca="false">IF($B$111=0,0,INDEX(Clean!$G$2:$G$101,MATCH(MIN($A125,$B$111),Clean!$AN$2:$AN$101,0)))</f>
        <v>250</v>
      </c>
      <c r="D125" s="41" t="n">
        <f aca="false">IF($D$111=0,0,INDEX(Clean!$W$2:$W$101,MATCH(MIN($A125,$D$111),Clean!$AP$2:$AP$101,0)))</f>
        <v>1.66</v>
      </c>
      <c r="E125" s="40" t="n">
        <f aca="false">IF($D$111=0,0,INDEX(Clean!$G$2:$G$101,MATCH(MIN($A125,$D$111),Clean!$AP$2:$AP$101,0)))</f>
        <v>165</v>
      </c>
      <c r="F125" s="40" t="n">
        <f aca="false">IF($F$111=0,0,INDEX(Clean!$G$2:$G$101,MATCH(MIN($A125,$F$111),Clean!$AR$2:$AR$101,0)))</f>
        <v>181</v>
      </c>
      <c r="G125" s="45" t="n">
        <f aca="false">IF($F$111=0,0,INDEX(Clean!$K$2:$K$101,MATCH(MIN($A125,$F$111),Clean!$AR$2:$AR$101,0)))</f>
        <v>5</v>
      </c>
      <c r="H125" s="37"/>
      <c r="I125" s="37"/>
      <c r="J125" s="37"/>
      <c r="K125" s="37"/>
      <c r="L125" s="37"/>
    </row>
    <row r="126" customFormat="false" ht="15" hidden="false" customHeight="false" outlineLevel="0" collapsed="false">
      <c r="A126" s="37" t="n">
        <v>15</v>
      </c>
      <c r="B126" s="41" t="n">
        <f aca="false">IF($B$111=0,0,INDEX(Clean!$W$2:$W$101,MATCH(MIN($A126,$B$111),Clean!$AN$2:$AN$101,0)))</f>
        <v>1.65</v>
      </c>
      <c r="C126" s="40" t="n">
        <f aca="false">IF($B$111=0,0,INDEX(Clean!$G$2:$G$101,MATCH(MIN($A126,$B$111),Clean!$AN$2:$AN$101,0)))</f>
        <v>198.3</v>
      </c>
      <c r="D126" s="41" t="n">
        <f aca="false">IF($D$111=0,0,INDEX(Clean!$W$2:$W$101,MATCH(MIN($A126,$D$111),Clean!$AP$2:$AP$101,0)))</f>
        <v>1.6</v>
      </c>
      <c r="E126" s="40" t="n">
        <f aca="false">IF($D$111=0,0,INDEX(Clean!$G$2:$G$101,MATCH(MIN($A126,$D$111),Clean!$AP$2:$AP$101,0)))</f>
        <v>126</v>
      </c>
      <c r="F126" s="40" t="n">
        <f aca="false">IF($F$111=0,0,INDEX(Clean!$G$2:$G$101,MATCH(MIN($A126,$F$111),Clean!$AR$2:$AR$101,0)))</f>
        <v>245.73</v>
      </c>
      <c r="G126" s="45" t="n">
        <f aca="false">IF($F$111=0,0,INDEX(Clean!$K$2:$K$101,MATCH(MIN($A126,$F$111),Clean!$AR$2:$AR$101,0)))</f>
        <v>4.5</v>
      </c>
      <c r="H126" s="37"/>
      <c r="I126" s="37"/>
      <c r="J126" s="37"/>
      <c r="K126" s="37"/>
      <c r="L126" s="37"/>
    </row>
    <row r="127" customFormat="false" ht="15" hidden="false" customHeight="false" outlineLevel="0" collapsed="false">
      <c r="A127" s="37" t="n">
        <v>16</v>
      </c>
      <c r="B127" s="41" t="n">
        <f aca="false">IF($B$111=0,0,INDEX(Clean!$W$2:$W$101,MATCH(MIN($A127,$B$111),Clean!$AN$2:$AN$101,0)))</f>
        <v>2.4</v>
      </c>
      <c r="C127" s="40" t="n">
        <f aca="false">IF($B$111=0,0,INDEX(Clean!$G$2:$G$101,MATCH(MIN($A127,$B$111),Clean!$AN$2:$AN$101,0)))</f>
        <v>410</v>
      </c>
      <c r="D127" s="41" t="n">
        <f aca="false">IF($D$111=0,0,INDEX(Clean!$W$2:$W$101,MATCH(MIN($A127,$D$111),Clean!$AP$2:$AP$101,0)))</f>
        <v>1.7</v>
      </c>
      <c r="E127" s="40" t="n">
        <f aca="false">IF($D$111=0,0,INDEX(Clean!$G$2:$G$101,MATCH(MIN($A127,$D$111),Clean!$AP$2:$AP$101,0)))</f>
        <v>182</v>
      </c>
      <c r="F127" s="40" t="n">
        <f aca="false">IF($F$111=0,0,INDEX(Clean!$G$2:$G$101,MATCH(MIN($A127,$F$111),Clean!$AR$2:$AR$101,0)))</f>
        <v>217.47</v>
      </c>
      <c r="G127" s="45" t="n">
        <f aca="false">IF($F$111=0,0,INDEX(Clean!$K$2:$K$101,MATCH(MIN($A127,$F$111),Clean!$AR$2:$AR$101,0)))</f>
        <v>4.7</v>
      </c>
      <c r="H127" s="37"/>
      <c r="I127" s="37"/>
      <c r="J127" s="37"/>
      <c r="K127" s="37"/>
      <c r="L127" s="37"/>
    </row>
    <row r="128" customFormat="false" ht="15" hidden="false" customHeight="false" outlineLevel="0" collapsed="false">
      <c r="A128" s="37" t="n">
        <v>17</v>
      </c>
      <c r="B128" s="41" t="n">
        <f aca="false">IF($B$111=0,0,INDEX(Clean!$W$2:$W$101,MATCH(MIN($A128,$B$111),Clean!$AN$2:$AN$101,0)))</f>
        <v>2.3</v>
      </c>
      <c r="C128" s="40" t="n">
        <f aca="false">IF($B$111=0,0,INDEX(Clean!$G$2:$G$101,MATCH(MIN($A128,$B$111),Clean!$AN$2:$AN$101,0)))</f>
        <v>299</v>
      </c>
      <c r="D128" s="41" t="n">
        <f aca="false">IF($D$111=0,0,INDEX(Clean!$W$2:$W$101,MATCH(MIN($A128,$D$111),Clean!$AP$2:$AP$101,0)))</f>
        <v>1.6</v>
      </c>
      <c r="E128" s="40" t="n">
        <f aca="false">IF($D$111=0,0,INDEX(Clean!$G$2:$G$101,MATCH(MIN($A128,$D$111),Clean!$AP$2:$AP$101,0)))</f>
        <v>142</v>
      </c>
      <c r="F128" s="40" t="n">
        <f aca="false">IF($F$111=0,0,INDEX(Clean!$G$2:$G$101,MATCH(MIN($A128,$F$111),Clean!$AR$2:$AR$101,0)))</f>
        <v>149.5</v>
      </c>
      <c r="G128" s="45" t="n">
        <f aca="false">IF($F$111=0,0,INDEX(Clean!$K$2:$K$101,MATCH(MIN($A128,$F$111),Clean!$AR$2:$AR$101,0)))</f>
        <v>4.1</v>
      </c>
      <c r="H128" s="37"/>
      <c r="I128" s="37"/>
      <c r="J128" s="37"/>
      <c r="K128" s="37"/>
      <c r="L128" s="37"/>
    </row>
    <row r="129" customFormat="false" ht="15" hidden="false" customHeight="false" outlineLevel="0" collapsed="false">
      <c r="A129" s="37" t="n">
        <v>18</v>
      </c>
      <c r="B129" s="41" t="n">
        <f aca="false">IF($B$111=0,0,INDEX(Clean!$W$2:$W$101,MATCH(MIN($A129,$B$111),Clean!$AN$2:$AN$101,0)))</f>
        <v>2.29</v>
      </c>
      <c r="C129" s="40" t="n">
        <f aca="false">IF($B$111=0,0,INDEX(Clean!$G$2:$G$101,MATCH(MIN($A129,$B$111),Clean!$AN$2:$AN$101,0)))</f>
        <v>280</v>
      </c>
      <c r="D129" s="41" t="n">
        <f aca="false">IF($D$111=0,0,INDEX(Clean!$W$2:$W$101,MATCH(MIN($A129,$D$111),Clean!$AP$2:$AP$101,0)))</f>
        <v>1.6</v>
      </c>
      <c r="E129" s="40" t="n">
        <f aca="false">IF($D$111=0,0,INDEX(Clean!$G$2:$G$101,MATCH(MIN($A129,$D$111),Clean!$AP$2:$AP$101,0)))</f>
        <v>155</v>
      </c>
      <c r="F129" s="40" t="n">
        <f aca="false">IF($F$111=0,0,INDEX(Clean!$G$2:$G$101,MATCH(MIN($A129,$F$111),Clean!$AR$2:$AR$101,0)))</f>
        <v>215</v>
      </c>
      <c r="G129" s="45" t="n">
        <f aca="false">IF($F$111=0,0,INDEX(Clean!$K$2:$K$101,MATCH(MIN($A129,$F$111),Clean!$AR$2:$AR$101,0)))</f>
        <v>5</v>
      </c>
      <c r="H129" s="37"/>
      <c r="I129" s="37"/>
      <c r="J129" s="37"/>
      <c r="K129" s="37"/>
      <c r="L129" s="37"/>
    </row>
    <row r="130" customFormat="false" ht="15" hidden="false" customHeight="false" outlineLevel="0" collapsed="false">
      <c r="A130" s="37" t="n">
        <v>19</v>
      </c>
      <c r="B130" s="41" t="n">
        <f aca="false">IF($B$111=0,0,INDEX(Clean!$W$2:$W$101,MATCH(MIN($A130,$B$111),Clean!$AN$2:$AN$101,0)))</f>
        <v>2.29</v>
      </c>
      <c r="C130" s="40" t="n">
        <f aca="false">IF($B$111=0,0,INDEX(Clean!$G$2:$G$101,MATCH(MIN($A130,$B$111),Clean!$AN$2:$AN$101,0)))</f>
        <v>314</v>
      </c>
      <c r="D130" s="41" t="n">
        <f aca="false">IF($D$111=0,0,INDEX(Clean!$W$2:$W$101,MATCH(MIN($A130,$D$111),Clean!$AP$2:$AP$101,0)))</f>
        <v>1.7</v>
      </c>
      <c r="E130" s="40" t="n">
        <f aca="false">IF($D$111=0,0,INDEX(Clean!$G$2:$G$101,MATCH(MIN($A130,$D$111),Clean!$AP$2:$AP$101,0)))</f>
        <v>199.9</v>
      </c>
      <c r="F130" s="40" t="n">
        <f aca="false">IF($F$111=0,0,INDEX(Clean!$G$2:$G$101,MATCH(MIN($A130,$F$111),Clean!$AR$2:$AR$101,0)))</f>
        <v>165</v>
      </c>
      <c r="G130" s="45" t="n">
        <f aca="false">IF($F$111=0,0,INDEX(Clean!$K$2:$K$101,MATCH(MIN($A130,$F$111),Clean!$AR$2:$AR$101,0)))</f>
        <v>5</v>
      </c>
      <c r="H130" s="37"/>
      <c r="I130" s="37"/>
      <c r="J130" s="37"/>
      <c r="K130" s="37"/>
      <c r="L130" s="37"/>
    </row>
    <row r="131" customFormat="false" ht="15" hidden="false" customHeight="false" outlineLevel="0" collapsed="false">
      <c r="A131" s="37" t="n">
        <v>20</v>
      </c>
      <c r="B131" s="41" t="n">
        <f aca="false">IF($B$111=0,0,INDEX(Clean!$W$2:$W$101,MATCH(MIN($A131,$B$111),Clean!$AN$2:$AN$101,0)))</f>
        <v>2.2</v>
      </c>
      <c r="C131" s="40" t="n">
        <f aca="false">IF($B$111=0,0,INDEX(Clean!$G$2:$G$101,MATCH(MIN($A131,$B$111),Clean!$AN$2:$AN$101,0)))</f>
        <v>312</v>
      </c>
      <c r="D131" s="41" t="n">
        <f aca="false">IF($D$111=0,0,INDEX(Clean!$W$2:$W$101,MATCH(MIN($A131,$D$111),Clean!$AP$2:$AP$101,0)))</f>
        <v>1.63</v>
      </c>
      <c r="E131" s="40" t="n">
        <f aca="false">IF($D$111=0,0,INDEX(Clean!$G$2:$G$101,MATCH(MIN($A131,$D$111),Clean!$AP$2:$AP$101,0)))</f>
        <v>195.6</v>
      </c>
      <c r="F131" s="40" t="n">
        <f aca="false">IF($F$111=0,0,INDEX(Clean!$G$2:$G$101,MATCH(MIN($A131,$F$111),Clean!$AR$2:$AR$101,0)))</f>
        <v>229</v>
      </c>
      <c r="G131" s="45" t="n">
        <f aca="false">IF($F$111=0,0,INDEX(Clean!$K$2:$K$101,MATCH(MIN($A131,$F$111),Clean!$AR$2:$AR$101,0)))</f>
        <v>4.3</v>
      </c>
      <c r="H131" s="37"/>
      <c r="I131" s="37"/>
      <c r="J131" s="37"/>
      <c r="K131" s="37"/>
      <c r="L131" s="37"/>
    </row>
    <row r="132" customFormat="false" ht="15" hidden="false" customHeight="false" outlineLevel="0" collapsed="false">
      <c r="A132" s="37" t="n">
        <v>21</v>
      </c>
      <c r="B132" s="41" t="n">
        <f aca="false">IF($B$111=0,0,INDEX(Clean!$W$2:$W$101,MATCH(MIN($A132,$B$111),Clean!$AN$2:$AN$101,0)))</f>
        <v>2.4</v>
      </c>
      <c r="C132" s="40" t="n">
        <f aca="false">IF($B$111=0,0,INDEX(Clean!$G$2:$G$101,MATCH(MIN($A132,$B$111),Clean!$AN$2:$AN$101,0)))</f>
        <v>287</v>
      </c>
      <c r="D132" s="41" t="n">
        <f aca="false">IF($D$111=0,0,INDEX(Clean!$W$2:$W$101,MATCH(MIN($A132,$D$111),Clean!$AP$2:$AP$101,0)))</f>
        <v>1.77</v>
      </c>
      <c r="E132" s="40" t="n">
        <f aca="false">IF($D$111=0,0,INDEX(Clean!$G$2:$G$101,MATCH(MIN($A132,$D$111),Clean!$AP$2:$AP$101,0)))</f>
        <v>149</v>
      </c>
      <c r="F132" s="40" t="n">
        <f aca="false">IF($F$111=0,0,INDEX(Clean!$G$2:$G$101,MATCH(MIN($A132,$F$111),Clean!$AR$2:$AR$101,0)))</f>
        <v>126</v>
      </c>
      <c r="G132" s="45" t="n">
        <f aca="false">IF($F$111=0,0,INDEX(Clean!$K$2:$K$101,MATCH(MIN($A132,$F$111),Clean!$AR$2:$AR$101,0)))</f>
        <v>4.3</v>
      </c>
      <c r="H132" s="37"/>
      <c r="I132" s="37"/>
      <c r="J132" s="37"/>
      <c r="K132" s="37"/>
      <c r="L132" s="37"/>
    </row>
    <row r="133" customFormat="false" ht="15" hidden="false" customHeight="false" outlineLevel="0" collapsed="false">
      <c r="A133" s="37" t="n">
        <v>22</v>
      </c>
      <c r="B133" s="41" t="n">
        <f aca="false">IF($B$111=0,0,INDEX(Clean!$W$2:$W$101,MATCH(MIN($A133,$B$111),Clean!$AN$2:$AN$101,0)))</f>
        <v>2.2</v>
      </c>
      <c r="C133" s="40" t="n">
        <f aca="false">IF($B$111=0,0,INDEX(Clean!$G$2:$G$101,MATCH(MIN($A133,$B$111),Clean!$AN$2:$AN$101,0)))</f>
        <v>277</v>
      </c>
      <c r="D133" s="41" t="n">
        <f aca="false">IF($D$111=0,0,INDEX(Clean!$W$2:$W$101,MATCH(MIN($A133,$D$111),Clean!$AP$2:$AP$101,0)))</f>
        <v>1.3</v>
      </c>
      <c r="E133" s="40" t="n">
        <f aca="false">IF($D$111=0,0,INDEX(Clean!$G$2:$G$101,MATCH(MIN($A133,$D$111),Clean!$AP$2:$AP$101,0)))</f>
        <v>69.6</v>
      </c>
      <c r="F133" s="40" t="n">
        <f aca="false">IF($F$111=0,0,INDEX(Clean!$G$2:$G$101,MATCH(MIN($A133,$F$111),Clean!$AR$2:$AR$101,0)))</f>
        <v>182</v>
      </c>
      <c r="G133" s="45" t="n">
        <f aca="false">IF($F$111=0,0,INDEX(Clean!$K$2:$K$101,MATCH(MIN($A133,$F$111),Clean!$AR$2:$AR$101,0)))</f>
        <v>3</v>
      </c>
      <c r="H133" s="37"/>
      <c r="I133" s="37"/>
      <c r="J133" s="37"/>
      <c r="K133" s="37"/>
      <c r="L133" s="37"/>
    </row>
    <row r="134" customFormat="false" ht="15" hidden="false" customHeight="false" outlineLevel="0" collapsed="false">
      <c r="A134" s="37" t="n">
        <v>23</v>
      </c>
      <c r="B134" s="41" t="n">
        <f aca="false">IF($B$111=0,0,INDEX(Clean!$W$2:$W$101,MATCH(MIN($A134,$B$111),Clean!$AN$2:$AN$101,0)))</f>
        <v>2.3</v>
      </c>
      <c r="C134" s="40" t="n">
        <f aca="false">IF($B$111=0,0,INDEX(Clean!$G$2:$G$101,MATCH(MIN($A134,$B$111),Clean!$AN$2:$AN$101,0)))</f>
        <v>315</v>
      </c>
      <c r="D134" s="41" t="n">
        <f aca="false">IF($D$111=0,0,INDEX(Clean!$W$2:$W$101,MATCH(MIN($A134,$D$111),Clean!$AP$2:$AP$101,0)))</f>
        <v>1.3</v>
      </c>
      <c r="E134" s="40" t="n">
        <f aca="false">IF($D$111=0,0,INDEX(Clean!$G$2:$G$101,MATCH(MIN($A134,$D$111),Clean!$AP$2:$AP$101,0)))</f>
        <v>69.5</v>
      </c>
      <c r="F134" s="40" t="n">
        <f aca="false">IF($F$111=0,0,INDEX(Clean!$G$2:$G$101,MATCH(MIN($A134,$F$111),Clean!$AR$2:$AR$101,0)))</f>
        <v>142</v>
      </c>
      <c r="G134" s="45" t="n">
        <f aca="false">IF($F$111=0,0,INDEX(Clean!$K$2:$K$101,MATCH(MIN($A134,$F$111),Clean!$AR$2:$AR$101,0)))</f>
        <v>5</v>
      </c>
      <c r="H134" s="37"/>
      <c r="I134" s="37"/>
      <c r="J134" s="37"/>
      <c r="K134" s="37"/>
      <c r="L134" s="37"/>
    </row>
    <row r="135" customFormat="false" ht="15" hidden="false" customHeight="false" outlineLevel="0" collapsed="false">
      <c r="A135" s="37" t="n">
        <v>24</v>
      </c>
      <c r="B135" s="41" t="n">
        <f aca="false">IF($B$111=0,0,INDEX(Clean!$W$2:$W$101,MATCH(MIN($A135,$B$111),Clean!$AN$2:$AN$101,0)))</f>
        <v>1.9</v>
      </c>
      <c r="C135" s="40" t="n">
        <f aca="false">IF($B$111=0,0,INDEX(Clean!$G$2:$G$101,MATCH(MIN($A135,$B$111),Clean!$AN$2:$AN$101,0)))</f>
        <v>289</v>
      </c>
      <c r="D135" s="41" t="n">
        <f aca="false">IF($D$111=0,0,INDEX(Clean!$W$2:$W$101,MATCH(MIN($A135,$D$111),Clean!$AP$2:$AP$101,0)))</f>
        <v>1.7</v>
      </c>
      <c r="E135" s="40" t="n">
        <f aca="false">IF($D$111=0,0,INDEX(Clean!$G$2:$G$101,MATCH(MIN($A135,$D$111),Clean!$AP$2:$AP$101,0)))</f>
        <v>92.5</v>
      </c>
      <c r="F135" s="40" t="n">
        <f aca="false">IF($F$111=0,0,INDEX(Clean!$G$2:$G$101,MATCH(MIN($A135,$F$111),Clean!$AR$2:$AR$101,0)))</f>
        <v>400</v>
      </c>
      <c r="G135" s="45" t="n">
        <f aca="false">IF($F$111=0,0,INDEX(Clean!$K$2:$K$101,MATCH(MIN($A135,$F$111),Clean!$AR$2:$AR$101,0)))</f>
        <v>4.5</v>
      </c>
      <c r="H135" s="37"/>
      <c r="I135" s="37"/>
      <c r="J135" s="37"/>
      <c r="K135" s="37"/>
      <c r="L135" s="37"/>
    </row>
    <row r="136" customFormat="false" ht="15" hidden="false" customHeight="false" outlineLevel="0" collapsed="false">
      <c r="A136" s="37" t="n">
        <v>25</v>
      </c>
      <c r="B136" s="41" t="n">
        <f aca="false">IF($B$111=0,0,INDEX(Clean!$W$2:$W$101,MATCH(MIN($A136,$B$111),Clean!$AN$2:$AN$101,0)))</f>
        <v>2.3</v>
      </c>
      <c r="C136" s="40" t="n">
        <f aca="false">IF($B$111=0,0,INDEX(Clean!$G$2:$G$101,MATCH(MIN($A136,$B$111),Clean!$AN$2:$AN$101,0)))</f>
        <v>344.6</v>
      </c>
      <c r="D136" s="41" t="n">
        <f aca="false">IF($D$111=0,0,INDEX(Clean!$W$2:$W$101,MATCH(MIN($A136,$D$111),Clean!$AP$2:$AP$101,0)))</f>
        <v>1.7</v>
      </c>
      <c r="E136" s="40" t="n">
        <f aca="false">IF($D$111=0,0,INDEX(Clean!$G$2:$G$101,MATCH(MIN($A136,$D$111),Clean!$AP$2:$AP$101,0)))</f>
        <v>228.5</v>
      </c>
      <c r="F136" s="40" t="n">
        <f aca="false">IF($F$111=0,0,INDEX(Clean!$G$2:$G$101,MATCH(MIN($A136,$F$111),Clean!$AR$2:$AR$101,0)))</f>
        <v>234</v>
      </c>
      <c r="G136" s="45" t="n">
        <f aca="false">IF($F$111=0,0,INDEX(Clean!$K$2:$K$101,MATCH(MIN($A136,$F$111),Clean!$AR$2:$AR$101,0)))</f>
        <v>4.1</v>
      </c>
      <c r="H136" s="37"/>
      <c r="I136" s="37"/>
      <c r="J136" s="37"/>
      <c r="K136" s="37"/>
      <c r="L136" s="37"/>
    </row>
    <row r="137" customFormat="false" ht="15" hidden="false" customHeight="false" outlineLevel="0" collapsed="false">
      <c r="A137" s="37" t="n">
        <v>26</v>
      </c>
      <c r="B137" s="41" t="n">
        <f aca="false">IF($B$111=0,0,INDEX(Clean!$W$2:$W$101,MATCH(MIN($A137,$B$111),Clean!$AN$2:$AN$101,0)))</f>
        <v>2.3</v>
      </c>
      <c r="C137" s="40" t="n">
        <f aca="false">IF($B$111=0,0,INDEX(Clean!$G$2:$G$101,MATCH(MIN($A137,$B$111),Clean!$AN$2:$AN$101,0)))</f>
        <v>333.5</v>
      </c>
      <c r="D137" s="41" t="n">
        <f aca="false">IF($D$111=0,0,INDEX(Clean!$W$2:$W$101,MATCH(MIN($A137,$D$111),Clean!$AP$2:$AP$101,0)))</f>
        <v>1.7</v>
      </c>
      <c r="E137" s="40" t="n">
        <f aca="false">IF($D$111=0,0,INDEX(Clean!$G$2:$G$101,MATCH(MIN($A137,$D$111),Clean!$AP$2:$AP$101,0)))</f>
        <v>156.2</v>
      </c>
      <c r="F137" s="40" t="n">
        <f aca="false">IF($F$111=0,0,INDEX(Clean!$G$2:$G$101,MATCH(MIN($A137,$F$111),Clean!$AR$2:$AR$101,0)))</f>
        <v>155</v>
      </c>
      <c r="G137" s="45" t="n">
        <f aca="false">IF($F$111=0,0,INDEX(Clean!$K$2:$K$101,MATCH(MIN($A137,$F$111),Clean!$AR$2:$AR$101,0)))</f>
        <v>3.8</v>
      </c>
      <c r="H137" s="37"/>
      <c r="I137" s="37"/>
      <c r="J137" s="37"/>
      <c r="K137" s="37"/>
      <c r="L137" s="37"/>
    </row>
    <row r="138" customFormat="false" ht="15" hidden="false" customHeight="false" outlineLevel="0" collapsed="false">
      <c r="A138" s="37" t="n">
        <v>27</v>
      </c>
      <c r="B138" s="41" t="n">
        <f aca="false">IF($B$111=0,0,INDEX(Clean!$W$2:$W$101,MATCH(MIN($A138,$B$111),Clean!$AN$2:$AN$101,0)))</f>
        <v>2.4</v>
      </c>
      <c r="C138" s="40" t="n">
        <f aca="false">IF($B$111=0,0,INDEX(Clean!$G$2:$G$101,MATCH(MIN($A138,$B$111),Clean!$AN$2:$AN$101,0)))</f>
        <v>479.5</v>
      </c>
      <c r="D138" s="41" t="n">
        <f aca="false">IF($D$111=0,0,INDEX(Clean!$W$2:$W$101,MATCH(MIN($A138,$D$111),Clean!$AP$2:$AP$101,0)))</f>
        <v>1.7</v>
      </c>
      <c r="E138" s="40" t="n">
        <f aca="false">IF($D$111=0,0,INDEX(Clean!$G$2:$G$101,MATCH(MIN($A138,$D$111),Clean!$AP$2:$AP$101,0)))</f>
        <v>159.5</v>
      </c>
      <c r="F138" s="40" t="n">
        <f aca="false">IF($F$111=0,0,INDEX(Clean!$G$2:$G$101,MATCH(MIN($A138,$F$111),Clean!$AR$2:$AR$101,0)))</f>
        <v>308</v>
      </c>
      <c r="G138" s="45" t="n">
        <f aca="false">IF($F$111=0,0,INDEX(Clean!$K$2:$K$101,MATCH(MIN($A138,$F$111),Clean!$AR$2:$AR$101,0)))</f>
        <v>4.3</v>
      </c>
      <c r="H138" s="37"/>
      <c r="I138" s="37"/>
      <c r="J138" s="37"/>
      <c r="K138" s="37"/>
      <c r="L138" s="37"/>
    </row>
    <row r="139" customFormat="false" ht="15" hidden="false" customHeight="false" outlineLevel="0" collapsed="false">
      <c r="A139" s="37" t="n">
        <v>28</v>
      </c>
      <c r="B139" s="41" t="n">
        <f aca="false">IF($B$111=0,0,INDEX(Clean!$W$2:$W$101,MATCH(MIN($A139,$B$111),Clean!$AN$2:$AN$101,0)))</f>
        <v>2.4</v>
      </c>
      <c r="C139" s="40" t="n">
        <f aca="false">IF($B$111=0,0,INDEX(Clean!$G$2:$G$101,MATCH(MIN($A139,$B$111),Clean!$AN$2:$AN$101,0)))</f>
        <v>440</v>
      </c>
      <c r="D139" s="41" t="n">
        <f aca="false">IF($D$111=0,0,INDEX(Clean!$W$2:$W$101,MATCH(MIN($A139,$D$111),Clean!$AP$2:$AP$101,0)))</f>
        <v>1.7</v>
      </c>
      <c r="E139" s="40" t="n">
        <f aca="false">IF($D$111=0,0,INDEX(Clean!$G$2:$G$101,MATCH(MIN($A139,$D$111),Clean!$AP$2:$AP$101,0)))</f>
        <v>137.5</v>
      </c>
      <c r="F139" s="40" t="n">
        <f aca="false">IF($F$111=0,0,INDEX(Clean!$G$2:$G$101,MATCH(MIN($A139,$F$111),Clean!$AR$2:$AR$101,0)))</f>
        <v>199.9</v>
      </c>
      <c r="G139" s="45" t="n">
        <f aca="false">IF($F$111=0,0,INDEX(Clean!$K$2:$K$101,MATCH(MIN($A139,$F$111),Clean!$AR$2:$AR$101,0)))</f>
        <v>5</v>
      </c>
      <c r="H139" s="37"/>
      <c r="I139" s="37"/>
      <c r="J139" s="37"/>
      <c r="K139" s="37"/>
      <c r="L139" s="37"/>
    </row>
    <row r="140" customFormat="false" ht="15" hidden="false" customHeight="false" outlineLevel="0" collapsed="false">
      <c r="A140" s="37" t="n">
        <v>29</v>
      </c>
      <c r="B140" s="41" t="n">
        <f aca="false">IF($B$111=0,0,INDEX(Clean!$W$2:$W$101,MATCH(MIN($A140,$B$111),Clean!$AN$2:$AN$101,0)))</f>
        <v>2.65</v>
      </c>
      <c r="C140" s="40" t="n">
        <f aca="false">IF($B$111=0,0,INDEX(Clean!$G$2:$G$101,MATCH(MIN($A140,$B$111),Clean!$AN$2:$AN$101,0)))</f>
        <v>549.5</v>
      </c>
      <c r="D140" s="41" t="n">
        <f aca="false">IF($D$111=0,0,INDEX(Clean!$W$2:$W$101,MATCH(MIN($A140,$D$111),Clean!$AP$2:$AP$101,0)))</f>
        <v>1.55</v>
      </c>
      <c r="E140" s="40" t="n">
        <f aca="false">IF($D$111=0,0,INDEX(Clean!$G$2:$G$101,MATCH(MIN($A140,$D$111),Clean!$AP$2:$AP$101,0)))</f>
        <v>117</v>
      </c>
      <c r="F140" s="40" t="n">
        <f aca="false">IF($F$111=0,0,INDEX(Clean!$G$2:$G$101,MATCH(MIN($A140,$F$111),Clean!$AR$2:$AR$101,0)))</f>
        <v>346</v>
      </c>
      <c r="G140" s="45" t="n">
        <f aca="false">IF($F$111=0,0,INDEX(Clean!$K$2:$K$101,MATCH(MIN($A140,$F$111),Clean!$AR$2:$AR$101,0)))</f>
        <v>4.6</v>
      </c>
      <c r="H140" s="37"/>
      <c r="I140" s="37"/>
      <c r="J140" s="37"/>
      <c r="K140" s="37"/>
      <c r="L140" s="37"/>
    </row>
    <row r="141" customFormat="false" ht="15" hidden="false" customHeight="false" outlineLevel="0" collapsed="false">
      <c r="A141" s="37" t="n">
        <v>30</v>
      </c>
      <c r="B141" s="41" t="n">
        <f aca="false">IF($B$111=0,0,INDEX(Clean!$W$2:$W$101,MATCH(MIN($A141,$B$111),Clean!$AN$2:$AN$101,0)))</f>
        <v>2.38</v>
      </c>
      <c r="C141" s="40" t="n">
        <f aca="false">IF($B$111=0,0,INDEX(Clean!$G$2:$G$101,MATCH(MIN($A141,$B$111),Clean!$AN$2:$AN$101,0)))</f>
        <v>479.5</v>
      </c>
      <c r="D141" s="41" t="n">
        <f aca="false">IF($D$111=0,0,INDEX(Clean!$W$2:$W$101,MATCH(MIN($A141,$D$111),Clean!$AP$2:$AP$101,0)))</f>
        <v>1.55</v>
      </c>
      <c r="E141" s="40" t="n">
        <f aca="false">IF($D$111=0,0,INDEX(Clean!$G$2:$G$101,MATCH(MIN($A141,$D$111),Clean!$AP$2:$AP$101,0)))</f>
        <v>121</v>
      </c>
      <c r="F141" s="40" t="n">
        <f aca="false">IF($F$111=0,0,INDEX(Clean!$G$2:$G$101,MATCH(MIN($A141,$F$111),Clean!$AR$2:$AR$101,0)))</f>
        <v>195.6</v>
      </c>
      <c r="G141" s="45" t="n">
        <f aca="false">IF($F$111=0,0,INDEX(Clean!$K$2:$K$101,MATCH(MIN($A141,$F$111),Clean!$AR$2:$AR$101,0)))</f>
        <v>5</v>
      </c>
      <c r="H141" s="37"/>
      <c r="I141" s="37"/>
      <c r="J141" s="37"/>
      <c r="K141" s="37"/>
      <c r="L141" s="37"/>
    </row>
    <row r="142" customFormat="false" ht="15" hidden="false" customHeight="false" outlineLevel="0" collapsed="false">
      <c r="A142" s="37" t="n">
        <v>31</v>
      </c>
      <c r="B142" s="41" t="n">
        <f aca="false">IF($B$111=0,0,INDEX(Clean!$W$2:$W$101,MATCH(MIN($A142,$B$111),Clean!$AN$2:$AN$101,0)))</f>
        <v>2.38</v>
      </c>
      <c r="C142" s="40" t="n">
        <f aca="false">IF($B$111=0,0,INDEX(Clean!$G$2:$G$101,MATCH(MIN($A142,$B$111),Clean!$AN$2:$AN$101,0)))</f>
        <v>393</v>
      </c>
      <c r="D142" s="41" t="n">
        <f aca="false">IF($D$111=0,0,INDEX(Clean!$W$2:$W$101,MATCH(MIN($A142,$D$111),Clean!$AP$2:$AP$101,0)))</f>
        <v>1.55</v>
      </c>
      <c r="E142" s="40" t="n">
        <f aca="false">IF($D$111=0,0,INDEX(Clean!$G$2:$G$101,MATCH(MIN($A142,$D$111),Clean!$AP$2:$AP$101,0)))</f>
        <v>107.9</v>
      </c>
      <c r="F142" s="40" t="n">
        <f aca="false">IF($F$111=0,0,INDEX(Clean!$G$2:$G$101,MATCH(MIN($A142,$F$111),Clean!$AR$2:$AR$101,0)))</f>
        <v>149</v>
      </c>
      <c r="G142" s="45" t="n">
        <f aca="false">IF($F$111=0,0,INDEX(Clean!$K$2:$K$101,MATCH(MIN($A142,$F$111),Clean!$AR$2:$AR$101,0)))</f>
        <v>5</v>
      </c>
      <c r="H142" s="37"/>
      <c r="I142" s="37"/>
      <c r="J142" s="37"/>
      <c r="K142" s="37"/>
      <c r="L142" s="37"/>
    </row>
    <row r="143" customFormat="false" ht="15" hidden="false" customHeight="false" outlineLevel="0" collapsed="false">
      <c r="A143" s="37" t="n">
        <v>32</v>
      </c>
      <c r="B143" s="41" t="n">
        <f aca="false">IF($B$111=0,0,INDEX(Clean!$W$2:$W$101,MATCH(MIN($A143,$B$111),Clean!$AN$2:$AN$101,0)))</f>
        <v>2.3</v>
      </c>
      <c r="C143" s="40" t="n">
        <f aca="false">IF($B$111=0,0,INDEX(Clean!$G$2:$G$101,MATCH(MIN($A143,$B$111),Clean!$AN$2:$AN$101,0)))</f>
        <v>299</v>
      </c>
      <c r="D143" s="41" t="n">
        <f aca="false">IF($D$111=0,0,INDEX(Clean!$W$2:$W$101,MATCH(MIN($A143,$D$111),Clean!$AP$2:$AP$101,0)))</f>
        <v>1.7</v>
      </c>
      <c r="E143" s="40" t="n">
        <f aca="false">IF($D$111=0,0,INDEX(Clean!$G$2:$G$101,MATCH(MIN($A143,$D$111),Clean!$AP$2:$AP$101,0)))</f>
        <v>168.2</v>
      </c>
      <c r="F143" s="40" t="n">
        <f aca="false">IF($F$111=0,0,INDEX(Clean!$G$2:$G$101,MATCH(MIN($A143,$F$111),Clean!$AR$2:$AR$101,0)))</f>
        <v>259</v>
      </c>
      <c r="G143" s="45" t="n">
        <f aca="false">IF($F$111=0,0,INDEX(Clean!$K$2:$K$101,MATCH(MIN($A143,$F$111),Clean!$AR$2:$AR$101,0)))</f>
        <v>4.5</v>
      </c>
      <c r="H143" s="37"/>
      <c r="I143" s="37"/>
      <c r="J143" s="37"/>
      <c r="K143" s="37"/>
      <c r="L143" s="37"/>
    </row>
    <row r="144" customFormat="false" ht="15" hidden="false" customHeight="false" outlineLevel="0" collapsed="false">
      <c r="A144" s="37" t="n">
        <v>33</v>
      </c>
      <c r="B144" s="41" t="n">
        <f aca="false">IF($B$111=0,0,INDEX(Clean!$W$2:$W$101,MATCH(MIN($A144,$B$111),Clean!$AN$2:$AN$101,0)))</f>
        <v>2.2</v>
      </c>
      <c r="C144" s="40" t="n">
        <f aca="false">IF($B$111=0,0,INDEX(Clean!$G$2:$G$101,MATCH(MIN($A144,$B$111),Clean!$AN$2:$AN$101,0)))</f>
        <v>295</v>
      </c>
      <c r="D144" s="41" t="n">
        <f aca="false">IF($D$111=0,0,INDEX(Clean!$W$2:$W$101,MATCH(MIN($A144,$D$111),Clean!$AP$2:$AP$101,0)))</f>
        <v>1.7</v>
      </c>
      <c r="E144" s="40" t="n">
        <f aca="false">IF($D$111=0,0,INDEX(Clean!$G$2:$G$101,MATCH(MIN($A144,$D$111),Clean!$AP$2:$AP$101,0)))</f>
        <v>210.3</v>
      </c>
      <c r="F144" s="40" t="n">
        <f aca="false">IF($F$111=0,0,INDEX(Clean!$G$2:$G$101,MATCH(MIN($A144,$F$111),Clean!$AR$2:$AR$101,0)))</f>
        <v>69.6</v>
      </c>
      <c r="G144" s="45" t="n">
        <f aca="false">IF($F$111=0,0,INDEX(Clean!$K$2:$K$101,MATCH(MIN($A144,$F$111),Clean!$AR$2:$AR$101,0)))</f>
        <v>4.1</v>
      </c>
      <c r="H144" s="37"/>
      <c r="I144" s="37"/>
      <c r="J144" s="37"/>
      <c r="K144" s="37"/>
      <c r="L144" s="37"/>
    </row>
    <row r="145" customFormat="false" ht="15" hidden="false" customHeight="false" outlineLevel="0" collapsed="false">
      <c r="A145" s="37" t="n">
        <v>34</v>
      </c>
      <c r="B145" s="41" t="n">
        <f aca="false">IF($B$111=0,0,INDEX(Clean!$W$2:$W$101,MATCH(MIN($A145,$B$111),Clean!$AN$2:$AN$101,0)))</f>
        <v>2.2</v>
      </c>
      <c r="C145" s="40" t="n">
        <f aca="false">IF($B$111=0,0,INDEX(Clean!$G$2:$G$101,MATCH(MIN($A145,$B$111),Clean!$AN$2:$AN$101,0)))</f>
        <v>295</v>
      </c>
      <c r="D145" s="41" t="n">
        <f aca="false">IF($D$111=0,0,INDEX(Clean!$W$2:$W$101,MATCH(MIN($A145,$D$111),Clean!$AP$2:$AP$101,0)))</f>
        <v>1.63</v>
      </c>
      <c r="E145" s="40" t="n">
        <f aca="false">IF($D$111=0,0,INDEX(Clean!$G$2:$G$101,MATCH(MIN($A145,$D$111),Clean!$AP$2:$AP$101,0)))</f>
        <v>119</v>
      </c>
      <c r="F145" s="40" t="n">
        <f aca="false">IF($F$111=0,0,INDEX(Clean!$G$2:$G$101,MATCH(MIN($A145,$F$111),Clean!$AR$2:$AR$101,0)))</f>
        <v>69.5</v>
      </c>
      <c r="G145" s="45" t="n">
        <f aca="false">IF($F$111=0,0,INDEX(Clean!$K$2:$K$101,MATCH(MIN($A145,$F$111),Clean!$AR$2:$AR$101,0)))</f>
        <v>3.8</v>
      </c>
      <c r="H145" s="37"/>
      <c r="I145" s="37"/>
      <c r="J145" s="37"/>
      <c r="K145" s="37"/>
      <c r="L145" s="37"/>
    </row>
    <row r="146" customFormat="false" ht="15" hidden="false" customHeight="false" outlineLevel="0" collapsed="false">
      <c r="A146" s="37" t="n">
        <v>35</v>
      </c>
      <c r="B146" s="41" t="n">
        <f aca="false">IF($B$111=0,0,INDEX(Clean!$W$2:$W$101,MATCH(MIN($A146,$B$111),Clean!$AN$2:$AN$101,0)))</f>
        <v>2.2</v>
      </c>
      <c r="C146" s="40" t="n">
        <f aca="false">IF($B$111=0,0,INDEX(Clean!$G$2:$G$101,MATCH(MIN($A146,$B$111),Clean!$AN$2:$AN$101,0)))</f>
        <v>295</v>
      </c>
      <c r="D146" s="41" t="n">
        <f aca="false">IF($D$111=0,0,INDEX(Clean!$W$2:$W$101,MATCH(MIN($A146,$D$111),Clean!$AP$2:$AP$101,0)))</f>
        <v>1.24</v>
      </c>
      <c r="E146" s="40" t="n">
        <f aca="false">IF($D$111=0,0,INDEX(Clean!$G$2:$G$101,MATCH(MIN($A146,$D$111),Clean!$AP$2:$AP$101,0)))</f>
        <v>459.89</v>
      </c>
      <c r="F146" s="40" t="n">
        <f aca="false">IF($F$111=0,0,INDEX(Clean!$G$2:$G$101,MATCH(MIN($A146,$F$111),Clean!$AR$2:$AR$101,0)))</f>
        <v>92.5</v>
      </c>
      <c r="G146" s="45" t="n">
        <f aca="false">IF($F$111=0,0,INDEX(Clean!$K$2:$K$101,MATCH(MIN($A146,$F$111),Clean!$AR$2:$AR$101,0)))</f>
        <v>3.4</v>
      </c>
      <c r="H146" s="37"/>
      <c r="I146" s="37"/>
      <c r="J146" s="37"/>
      <c r="K146" s="37"/>
      <c r="L146" s="37"/>
    </row>
    <row r="147" customFormat="false" ht="15" hidden="false" customHeight="false" outlineLevel="0" collapsed="false">
      <c r="A147" s="37" t="n">
        <v>36</v>
      </c>
      <c r="B147" s="41" t="n">
        <f aca="false">IF($B$111=0,0,INDEX(Clean!$W$2:$W$101,MATCH(MIN($A147,$B$111),Clean!$AN$2:$AN$101,0)))</f>
        <v>2.2</v>
      </c>
      <c r="C147" s="40" t="n">
        <f aca="false">IF($B$111=0,0,INDEX(Clean!$G$2:$G$101,MATCH(MIN($A147,$B$111),Clean!$AN$2:$AN$101,0)))</f>
        <v>295</v>
      </c>
      <c r="D147" s="41" t="n">
        <f aca="false">IF($D$111=0,0,INDEX(Clean!$W$2:$W$101,MATCH(MIN($A147,$D$111),Clean!$AP$2:$AP$101,0)))</f>
        <v>1.24</v>
      </c>
      <c r="E147" s="40" t="n">
        <f aca="false">IF($D$111=0,0,INDEX(Clean!$G$2:$G$101,MATCH(MIN($A147,$D$111),Clean!$AP$2:$AP$101,0)))</f>
        <v>380.3</v>
      </c>
      <c r="F147" s="40" t="n">
        <f aca="false">IF($F$111=0,0,INDEX(Clean!$G$2:$G$101,MATCH(MIN($A147,$F$111),Clean!$AR$2:$AR$101,0)))</f>
        <v>228.5</v>
      </c>
      <c r="G147" s="45" t="n">
        <f aca="false">IF($F$111=0,0,INDEX(Clean!$K$2:$K$101,MATCH(MIN($A147,$F$111),Clean!$AR$2:$AR$101,0)))</f>
        <v>4.3</v>
      </c>
      <c r="H147" s="37"/>
      <c r="I147" s="37"/>
      <c r="J147" s="37"/>
      <c r="K147" s="37"/>
      <c r="L147" s="37"/>
    </row>
    <row r="148" customFormat="false" ht="15" hidden="false" customHeight="false" outlineLevel="0" collapsed="false">
      <c r="A148" s="37" t="n">
        <v>37</v>
      </c>
      <c r="B148" s="41" t="n">
        <f aca="false">IF($B$111=0,0,INDEX(Clean!$W$2:$W$101,MATCH(MIN($A148,$B$111),Clean!$AN$2:$AN$101,0)))</f>
        <v>2.2</v>
      </c>
      <c r="C148" s="40" t="n">
        <f aca="false">IF($B$111=0,0,INDEX(Clean!$G$2:$G$101,MATCH(MIN($A148,$B$111),Clean!$AN$2:$AN$101,0)))</f>
        <v>295</v>
      </c>
      <c r="D148" s="41" t="n">
        <f aca="false">IF($D$111=0,0,INDEX(Clean!$W$2:$W$101,MATCH(MIN($A148,$D$111),Clean!$AP$2:$AP$101,0)))</f>
        <v>1.65</v>
      </c>
      <c r="E148" s="40" t="n">
        <f aca="false">IF($D$111=0,0,INDEX(Clean!$G$2:$G$101,MATCH(MIN($A148,$D$111),Clean!$AP$2:$AP$101,0)))</f>
        <v>215.5</v>
      </c>
      <c r="F148" s="40" t="n">
        <f aca="false">IF($F$111=0,0,INDEX(Clean!$G$2:$G$101,MATCH(MIN($A148,$F$111),Clean!$AR$2:$AR$101,0)))</f>
        <v>156.2</v>
      </c>
      <c r="G148" s="45" t="n">
        <f aca="false">IF($F$111=0,0,INDEX(Clean!$K$2:$K$101,MATCH(MIN($A148,$F$111),Clean!$AR$2:$AR$101,0)))</f>
        <v>5</v>
      </c>
      <c r="H148" s="37"/>
      <c r="I148" s="37"/>
      <c r="J148" s="37"/>
      <c r="K148" s="37"/>
      <c r="L148" s="37"/>
    </row>
    <row r="149" customFormat="false" ht="15" hidden="false" customHeight="false" outlineLevel="0" collapsed="false">
      <c r="A149" s="37" t="n">
        <v>38</v>
      </c>
      <c r="B149" s="41" t="n">
        <f aca="false">IF($B$111=0,0,INDEX(Clean!$W$2:$W$101,MATCH(MIN($A149,$B$111),Clean!$AN$2:$AN$101,0)))</f>
        <v>2.2</v>
      </c>
      <c r="C149" s="40" t="n">
        <f aca="false">IF($B$111=0,0,INDEX(Clean!$G$2:$G$101,MATCH(MIN($A149,$B$111),Clean!$AN$2:$AN$101,0)))</f>
        <v>295</v>
      </c>
      <c r="D149" s="41" t="n">
        <f aca="false">IF($D$111=0,0,INDEX(Clean!$W$2:$W$101,MATCH(MIN($A149,$D$111),Clean!$AP$2:$AP$101,0)))</f>
        <v>1.55</v>
      </c>
      <c r="E149" s="40" t="n">
        <f aca="false">IF($D$111=0,0,INDEX(Clean!$G$2:$G$101,MATCH(MIN($A149,$D$111),Clean!$AP$2:$AP$101,0)))</f>
        <v>102.8</v>
      </c>
      <c r="F149" s="40" t="n">
        <f aca="false">IF($F$111=0,0,INDEX(Clean!$G$2:$G$101,MATCH(MIN($A149,$F$111),Clean!$AR$2:$AR$101,0)))</f>
        <v>310</v>
      </c>
      <c r="G149" s="45" t="n">
        <f aca="false">IF($F$111=0,0,INDEX(Clean!$K$2:$K$101,MATCH(MIN($A149,$F$111),Clean!$AR$2:$AR$101,0)))</f>
        <v>5</v>
      </c>
      <c r="H149" s="37"/>
      <c r="I149" s="37"/>
      <c r="J149" s="37"/>
      <c r="K149" s="37"/>
      <c r="L149" s="37"/>
    </row>
    <row r="150" customFormat="false" ht="15" hidden="false" customHeight="false" outlineLevel="0" collapsed="false">
      <c r="A150" s="37" t="n">
        <v>39</v>
      </c>
      <c r="B150" s="41" t="n">
        <f aca="false">IF($B$111=0,0,INDEX(Clean!$W$2:$W$101,MATCH(MIN($A150,$B$111),Clean!$AN$2:$AN$101,0)))</f>
        <v>2.2</v>
      </c>
      <c r="C150" s="40" t="n">
        <f aca="false">IF($B$111=0,0,INDEX(Clean!$G$2:$G$101,MATCH(MIN($A150,$B$111),Clean!$AN$2:$AN$101,0)))</f>
        <v>295</v>
      </c>
      <c r="D150" s="41" t="n">
        <f aca="false">IF($D$111=0,0,INDEX(Clean!$W$2:$W$101,MATCH(MIN($A150,$D$111),Clean!$AP$2:$AP$101,0)))</f>
        <v>1.63</v>
      </c>
      <c r="E150" s="40" t="n">
        <f aca="false">IF($D$111=0,0,INDEX(Clean!$G$2:$G$101,MATCH(MIN($A150,$D$111),Clean!$AP$2:$AP$101,0)))</f>
        <v>125.8</v>
      </c>
      <c r="F150" s="40" t="n">
        <f aca="false">IF($F$111=0,0,INDEX(Clean!$G$2:$G$101,MATCH(MIN($A150,$F$111),Clean!$AR$2:$AR$101,0)))</f>
        <v>159.5</v>
      </c>
      <c r="G150" s="45" t="n">
        <f aca="false">IF($F$111=0,0,INDEX(Clean!$K$2:$K$101,MATCH(MIN($A150,$F$111),Clean!$AR$2:$AR$101,0)))</f>
        <v>3</v>
      </c>
      <c r="H150" s="37"/>
      <c r="I150" s="37"/>
      <c r="J150" s="37"/>
      <c r="K150" s="37"/>
      <c r="L150" s="37"/>
    </row>
    <row r="151" customFormat="false" ht="15" hidden="false" customHeight="false" outlineLevel="0" collapsed="false">
      <c r="A151" s="37" t="n">
        <v>40</v>
      </c>
      <c r="B151" s="41" t="n">
        <f aca="false">IF($B$111=0,0,INDEX(Clean!$W$2:$W$101,MATCH(MIN($A151,$B$111),Clean!$AN$2:$AN$101,0)))</f>
        <v>2.2</v>
      </c>
      <c r="C151" s="40" t="n">
        <f aca="false">IF($B$111=0,0,INDEX(Clean!$G$2:$G$101,MATCH(MIN($A151,$B$111),Clean!$AN$2:$AN$101,0)))</f>
        <v>295</v>
      </c>
      <c r="D151" s="41" t="n">
        <f aca="false">IF($D$111=0,0,INDEX(Clean!$W$2:$W$101,MATCH(MIN($A151,$D$111),Clean!$AP$2:$AP$101,0)))</f>
        <v>1.6</v>
      </c>
      <c r="E151" s="40" t="n">
        <f aca="false">IF($D$111=0,0,INDEX(Clean!$G$2:$G$101,MATCH(MIN($A151,$D$111),Clean!$AP$2:$AP$101,0)))</f>
        <v>185</v>
      </c>
      <c r="F151" s="40" t="n">
        <f aca="false">IF($F$111=0,0,INDEX(Clean!$G$2:$G$101,MATCH(MIN($A151,$F$111),Clean!$AR$2:$AR$101,0)))</f>
        <v>437.5</v>
      </c>
      <c r="G151" s="45" t="n">
        <f aca="false">IF($F$111=0,0,INDEX(Clean!$K$2:$K$101,MATCH(MIN($A151,$F$111),Clean!$AR$2:$AR$101,0)))</f>
        <v>5</v>
      </c>
      <c r="H151" s="37"/>
      <c r="I151" s="37"/>
      <c r="J151" s="37"/>
      <c r="K151" s="37"/>
      <c r="L151" s="37"/>
    </row>
    <row r="152" customFormat="false" ht="15" hidden="false" customHeight="false" outlineLevel="0" collapsed="false">
      <c r="A152" s="37" t="n">
        <v>41</v>
      </c>
      <c r="B152" s="41" t="n">
        <f aca="false">IF($B$111=0,0,INDEX(Clean!$W$2:$W$101,MATCH(MIN($A152,$B$111),Clean!$AN$2:$AN$101,0)))</f>
        <v>2.2</v>
      </c>
      <c r="C152" s="40" t="n">
        <f aca="false">IF($B$111=0,0,INDEX(Clean!$G$2:$G$101,MATCH(MIN($A152,$B$111),Clean!$AN$2:$AN$101,0)))</f>
        <v>295</v>
      </c>
      <c r="D152" s="41" t="n">
        <f aca="false">IF($D$111=0,0,INDEX(Clean!$W$2:$W$101,MATCH(MIN($A152,$D$111),Clean!$AP$2:$AP$101,0)))</f>
        <v>1.6</v>
      </c>
      <c r="E152" s="40" t="n">
        <f aca="false">IF($D$111=0,0,INDEX(Clean!$G$2:$G$101,MATCH(MIN($A152,$D$111),Clean!$AP$2:$AP$101,0)))</f>
        <v>145.8</v>
      </c>
      <c r="F152" s="40" t="n">
        <f aca="false">IF($F$111=0,0,INDEX(Clean!$G$2:$G$101,MATCH(MIN($A152,$F$111),Clean!$AR$2:$AR$101,0)))</f>
        <v>495.5</v>
      </c>
      <c r="G152" s="45" t="n">
        <f aca="false">IF($F$111=0,0,INDEX(Clean!$K$2:$K$101,MATCH(MIN($A152,$F$111),Clean!$AR$2:$AR$101,0)))</f>
        <v>4.6</v>
      </c>
      <c r="H152" s="37"/>
      <c r="I152" s="37"/>
      <c r="J152" s="37"/>
      <c r="K152" s="37"/>
      <c r="L152" s="37"/>
    </row>
    <row r="153" customFormat="false" ht="15" hidden="false" customHeight="false" outlineLevel="0" collapsed="false">
      <c r="A153" s="37" t="n">
        <v>42</v>
      </c>
      <c r="B153" s="41" t="n">
        <f aca="false">IF($B$111=0,0,INDEX(Clean!$W$2:$W$101,MATCH(MIN($A153,$B$111),Clean!$AN$2:$AN$101,0)))</f>
        <v>2.2</v>
      </c>
      <c r="C153" s="40" t="n">
        <f aca="false">IF($B$111=0,0,INDEX(Clean!$G$2:$G$101,MATCH(MIN($A153,$B$111),Clean!$AN$2:$AN$101,0)))</f>
        <v>295</v>
      </c>
      <c r="D153" s="41" t="n">
        <f aca="false">IF($D$111=0,0,INDEX(Clean!$W$2:$W$101,MATCH(MIN($A153,$D$111),Clean!$AP$2:$AP$101,0)))</f>
        <v>1.7</v>
      </c>
      <c r="E153" s="40" t="n">
        <f aca="false">IF($D$111=0,0,INDEX(Clean!$G$2:$G$101,MATCH(MIN($A153,$D$111),Clean!$AP$2:$AP$101,0)))</f>
        <v>144</v>
      </c>
      <c r="F153" s="40" t="n">
        <f aca="false">IF($F$111=0,0,INDEX(Clean!$G$2:$G$101,MATCH(MIN($A153,$F$111),Clean!$AR$2:$AR$101,0)))</f>
        <v>224</v>
      </c>
      <c r="G153" s="45" t="n">
        <f aca="false">IF($F$111=0,0,INDEX(Clean!$K$2:$K$101,MATCH(MIN($A153,$F$111),Clean!$AR$2:$AR$101,0)))</f>
        <v>4.1</v>
      </c>
      <c r="H153" s="37"/>
      <c r="I153" s="37"/>
      <c r="J153" s="37"/>
      <c r="K153" s="37"/>
      <c r="L153" s="37"/>
    </row>
    <row r="154" customFormat="false" ht="15" hidden="false" customHeight="false" outlineLevel="0" collapsed="false">
      <c r="A154" s="37" t="n">
        <v>43</v>
      </c>
      <c r="B154" s="41" t="n">
        <f aca="false">IF($B$111=0,0,INDEX(Clean!$W$2:$W$101,MATCH(MIN($A154,$B$111),Clean!$AN$2:$AN$101,0)))</f>
        <v>2.2</v>
      </c>
      <c r="C154" s="40" t="n">
        <f aca="false">IF($B$111=0,0,INDEX(Clean!$G$2:$G$101,MATCH(MIN($A154,$B$111),Clean!$AN$2:$AN$101,0)))</f>
        <v>295</v>
      </c>
      <c r="D154" s="41" t="n">
        <f aca="false">IF($D$111=0,0,INDEX(Clean!$W$2:$W$101,MATCH(MIN($A154,$D$111),Clean!$AP$2:$AP$101,0)))</f>
        <v>1.7</v>
      </c>
      <c r="E154" s="40" t="n">
        <f aca="false">IF($D$111=0,0,INDEX(Clean!$G$2:$G$101,MATCH(MIN($A154,$D$111),Clean!$AP$2:$AP$101,0)))</f>
        <v>187.5</v>
      </c>
      <c r="F154" s="40" t="n">
        <f aca="false">IF($F$111=0,0,INDEX(Clean!$G$2:$G$101,MATCH(MIN($A154,$F$111),Clean!$AR$2:$AR$101,0)))</f>
        <v>137.5</v>
      </c>
      <c r="G154" s="45" t="n">
        <f aca="false">IF($F$111=0,0,INDEX(Clean!$K$2:$K$101,MATCH(MIN($A154,$F$111),Clean!$AR$2:$AR$101,0)))</f>
        <v>5</v>
      </c>
      <c r="H154" s="37"/>
      <c r="I154" s="37"/>
      <c r="J154" s="37"/>
      <c r="K154" s="37"/>
      <c r="L154" s="37"/>
    </row>
    <row r="155" customFormat="false" ht="15" hidden="false" customHeight="false" outlineLevel="0" collapsed="false">
      <c r="A155" s="37" t="n">
        <v>44</v>
      </c>
      <c r="B155" s="41" t="n">
        <f aca="false">IF($B$111=0,0,INDEX(Clean!$W$2:$W$101,MATCH(MIN($A155,$B$111),Clean!$AN$2:$AN$101,0)))</f>
        <v>2.2</v>
      </c>
      <c r="C155" s="40" t="n">
        <f aca="false">IF($B$111=0,0,INDEX(Clean!$G$2:$G$101,MATCH(MIN($A155,$B$111),Clean!$AN$2:$AN$101,0)))</f>
        <v>295</v>
      </c>
      <c r="D155" s="41" t="n">
        <f aca="false">IF($D$111=0,0,INDEX(Clean!$W$2:$W$101,MATCH(MIN($A155,$D$111),Clean!$AP$2:$AP$101,0)))</f>
        <v>1.6</v>
      </c>
      <c r="E155" s="40" t="n">
        <f aca="false">IF($D$111=0,0,INDEX(Clean!$G$2:$G$101,MATCH(MIN($A155,$D$111),Clean!$AP$2:$AP$101,0)))</f>
        <v>129.9</v>
      </c>
      <c r="F155" s="40" t="n">
        <f aca="false">IF($F$111=0,0,INDEX(Clean!$G$2:$G$101,MATCH(MIN($A155,$F$111),Clean!$AR$2:$AR$101,0)))</f>
        <v>160</v>
      </c>
      <c r="G155" s="45" t="n">
        <f aca="false">IF($F$111=0,0,INDEX(Clean!$K$2:$K$101,MATCH(MIN($A155,$F$111),Clean!$AR$2:$AR$101,0)))</f>
        <v>5</v>
      </c>
      <c r="H155" s="37"/>
      <c r="I155" s="37"/>
      <c r="J155" s="37"/>
      <c r="K155" s="37"/>
      <c r="L155" s="37"/>
    </row>
    <row r="156" customFormat="false" ht="15" hidden="false" customHeight="false" outlineLevel="0" collapsed="false">
      <c r="A156" s="37" t="n">
        <v>45</v>
      </c>
      <c r="B156" s="41" t="n">
        <f aca="false">IF($B$111=0,0,INDEX(Clean!$W$2:$W$101,MATCH(MIN($A156,$B$111),Clean!$AN$2:$AN$101,0)))</f>
        <v>2.2</v>
      </c>
      <c r="C156" s="40" t="n">
        <f aca="false">IF($B$111=0,0,INDEX(Clean!$G$2:$G$101,MATCH(MIN($A156,$B$111),Clean!$AN$2:$AN$101,0)))</f>
        <v>295</v>
      </c>
      <c r="D156" s="41" t="n">
        <f aca="false">IF($D$111=0,0,INDEX(Clean!$W$2:$W$101,MATCH(MIN($A156,$D$111),Clean!$AP$2:$AP$101,0)))</f>
        <v>1.59</v>
      </c>
      <c r="E156" s="40" t="n">
        <f aca="false">IF($D$111=0,0,INDEX(Clean!$G$2:$G$101,MATCH(MIN($A156,$D$111),Clean!$AP$2:$AP$101,0)))</f>
        <v>127</v>
      </c>
      <c r="F156" s="40" t="n">
        <f aca="false">IF($F$111=0,0,INDEX(Clean!$G$2:$G$101,MATCH(MIN($A156,$F$111),Clean!$AR$2:$AR$101,0)))</f>
        <v>504</v>
      </c>
      <c r="G156" s="45" t="n">
        <f aca="false">IF($F$111=0,0,INDEX(Clean!$K$2:$K$101,MATCH(MIN($A156,$F$111),Clean!$AR$2:$AR$101,0)))</f>
        <v>5</v>
      </c>
      <c r="H156" s="37"/>
      <c r="I156" s="37"/>
      <c r="J156" s="37"/>
      <c r="K156" s="37"/>
      <c r="L156" s="37"/>
    </row>
    <row r="157" customFormat="false" ht="15" hidden="false" customHeight="false" outlineLevel="0" collapsed="false">
      <c r="A157" s="37" t="n">
        <v>46</v>
      </c>
      <c r="B157" s="41" t="n">
        <f aca="false">IF($B$111=0,0,INDEX(Clean!$W$2:$W$101,MATCH(MIN($A157,$B$111),Clean!$AN$2:$AN$101,0)))</f>
        <v>2.2</v>
      </c>
      <c r="C157" s="40" t="n">
        <f aca="false">IF($B$111=0,0,INDEX(Clean!$G$2:$G$101,MATCH(MIN($A157,$B$111),Clean!$AN$2:$AN$101,0)))</f>
        <v>295</v>
      </c>
      <c r="D157" s="41" t="n">
        <f aca="false">IF($D$111=0,0,INDEX(Clean!$W$2:$W$101,MATCH(MIN($A157,$D$111),Clean!$AP$2:$AP$101,0)))</f>
        <v>1.8</v>
      </c>
      <c r="E157" s="40" t="n">
        <f aca="false">IF($D$111=0,0,INDEX(Clean!$G$2:$G$101,MATCH(MIN($A157,$D$111),Clean!$AP$2:$AP$101,0)))</f>
        <v>249</v>
      </c>
      <c r="F157" s="40" t="n">
        <f aca="false">IF($F$111=0,0,INDEX(Clean!$G$2:$G$101,MATCH(MIN($A157,$F$111),Clean!$AR$2:$AR$101,0)))</f>
        <v>423.5</v>
      </c>
      <c r="G157" s="45" t="n">
        <f aca="false">IF($F$111=0,0,INDEX(Clean!$K$2:$K$101,MATCH(MIN($A157,$F$111),Clean!$AR$2:$AR$101,0)))</f>
        <v>5</v>
      </c>
      <c r="H157" s="37"/>
      <c r="I157" s="37"/>
      <c r="J157" s="37"/>
      <c r="K157" s="37"/>
      <c r="L157" s="37"/>
    </row>
    <row r="158" customFormat="false" ht="15" hidden="false" customHeight="false" outlineLevel="0" collapsed="false">
      <c r="A158" s="37" t="n">
        <v>47</v>
      </c>
      <c r="B158" s="41" t="n">
        <f aca="false">IF($B$111=0,0,INDEX(Clean!$W$2:$W$101,MATCH(MIN($A158,$B$111),Clean!$AN$2:$AN$101,0)))</f>
        <v>2.2</v>
      </c>
      <c r="C158" s="40" t="n">
        <f aca="false">IF($B$111=0,0,INDEX(Clean!$G$2:$G$101,MATCH(MIN($A158,$B$111),Clean!$AN$2:$AN$101,0)))</f>
        <v>295</v>
      </c>
      <c r="D158" s="41" t="n">
        <f aca="false">IF($D$111=0,0,INDEX(Clean!$W$2:$W$101,MATCH(MIN($A158,$D$111),Clean!$AP$2:$AP$101,0)))</f>
        <v>1.63</v>
      </c>
      <c r="E158" s="40" t="n">
        <f aca="false">IF($D$111=0,0,INDEX(Clean!$G$2:$G$101,MATCH(MIN($A158,$D$111),Clean!$AP$2:$AP$101,0)))</f>
        <v>155.8</v>
      </c>
      <c r="F158" s="40" t="n">
        <f aca="false">IF($F$111=0,0,INDEX(Clean!$G$2:$G$101,MATCH(MIN($A158,$F$111),Clean!$AR$2:$AR$101,0)))</f>
        <v>250</v>
      </c>
      <c r="G158" s="45" t="n">
        <f aca="false">IF($F$111=0,0,INDEX(Clean!$K$2:$K$101,MATCH(MIN($A158,$F$111),Clean!$AR$2:$AR$101,0)))</f>
        <v>4.2</v>
      </c>
      <c r="H158" s="37"/>
      <c r="I158" s="37"/>
      <c r="J158" s="37"/>
      <c r="K158" s="37"/>
      <c r="L158" s="37"/>
    </row>
    <row r="159" customFormat="false" ht="15" hidden="false" customHeight="false" outlineLevel="0" collapsed="false">
      <c r="A159" s="37" t="n">
        <v>48</v>
      </c>
      <c r="B159" s="41" t="n">
        <f aca="false">IF($B$111=0,0,INDEX(Clean!$W$2:$W$101,MATCH(MIN($A159,$B$111),Clean!$AN$2:$AN$101,0)))</f>
        <v>2.2</v>
      </c>
      <c r="C159" s="40" t="n">
        <f aca="false">IF($B$111=0,0,INDEX(Clean!$G$2:$G$101,MATCH(MIN($A159,$B$111),Clean!$AN$2:$AN$101,0)))</f>
        <v>295</v>
      </c>
      <c r="D159" s="41" t="n">
        <f aca="false">IF($D$111=0,0,INDEX(Clean!$W$2:$W$101,MATCH(MIN($A159,$D$111),Clean!$AP$2:$AP$101,0)))</f>
        <v>1.63</v>
      </c>
      <c r="E159" s="40" t="n">
        <f aca="false">IF($D$111=0,0,INDEX(Clean!$G$2:$G$101,MATCH(MIN($A159,$D$111),Clean!$AP$2:$AP$101,0)))</f>
        <v>147.2</v>
      </c>
      <c r="F159" s="40" t="n">
        <f aca="false">IF($F$111=0,0,INDEX(Clean!$G$2:$G$101,MATCH(MIN($A159,$F$111),Clean!$AR$2:$AR$101,0)))</f>
        <v>117</v>
      </c>
      <c r="G159" s="45" t="n">
        <f aca="false">IF($F$111=0,0,INDEX(Clean!$K$2:$K$101,MATCH(MIN($A159,$F$111),Clean!$AR$2:$AR$101,0)))</f>
        <v>4</v>
      </c>
      <c r="H159" s="37"/>
      <c r="I159" s="37"/>
      <c r="J159" s="37"/>
      <c r="K159" s="37"/>
      <c r="L159" s="37"/>
    </row>
    <row r="160" customFormat="false" ht="15" hidden="false" customHeight="false" outlineLevel="0" collapsed="false">
      <c r="A160" s="37" t="n">
        <v>49</v>
      </c>
      <c r="B160" s="41" t="n">
        <f aca="false">IF($B$111=0,0,INDEX(Clean!$W$2:$W$101,MATCH(MIN($A160,$B$111),Clean!$AN$2:$AN$101,0)))</f>
        <v>2.2</v>
      </c>
      <c r="C160" s="40" t="n">
        <f aca="false">IF($B$111=0,0,INDEX(Clean!$G$2:$G$101,MATCH(MIN($A160,$B$111),Clean!$AN$2:$AN$101,0)))</f>
        <v>295</v>
      </c>
      <c r="D160" s="41" t="n">
        <f aca="false">IF($D$111=0,0,INDEX(Clean!$W$2:$W$101,MATCH(MIN($A160,$D$111),Clean!$AP$2:$AP$101,0)))</f>
        <v>1.39</v>
      </c>
      <c r="E160" s="40" t="n">
        <f aca="false">IF($D$111=0,0,INDEX(Clean!$G$2:$G$101,MATCH(MIN($A160,$D$111),Clean!$AP$2:$AP$101,0)))</f>
        <v>275</v>
      </c>
      <c r="F160" s="40" t="n">
        <f aca="false">IF($F$111=0,0,INDEX(Clean!$G$2:$G$101,MATCH(MIN($A160,$F$111),Clean!$AR$2:$AR$101,0)))</f>
        <v>121</v>
      </c>
      <c r="G160" s="45" t="n">
        <f aca="false">IF($F$111=0,0,INDEX(Clean!$K$2:$K$101,MATCH(MIN($A160,$F$111),Clean!$AR$2:$AR$101,0)))</f>
        <v>3.8</v>
      </c>
      <c r="H160" s="37"/>
      <c r="I160" s="37"/>
      <c r="J160" s="37"/>
      <c r="K160" s="37"/>
      <c r="L160" s="37"/>
    </row>
    <row r="161" customFormat="false" ht="15" hidden="false" customHeight="false" outlineLevel="0" collapsed="false">
      <c r="A161" s="37" t="n">
        <v>50</v>
      </c>
      <c r="B161" s="41" t="n">
        <f aca="false">IF($B$111=0,0,INDEX(Clean!$W$2:$W$101,MATCH(MIN($A161,$B$111),Clean!$AN$2:$AN$101,0)))</f>
        <v>2.2</v>
      </c>
      <c r="C161" s="40" t="n">
        <f aca="false">IF($B$111=0,0,INDEX(Clean!$G$2:$G$101,MATCH(MIN($A161,$B$111),Clean!$AN$2:$AN$101,0)))</f>
        <v>295</v>
      </c>
      <c r="D161" s="41" t="n">
        <f aca="false">IF($D$111=0,0,INDEX(Clean!$W$2:$W$101,MATCH(MIN($A161,$D$111),Clean!$AP$2:$AP$101,0)))</f>
        <v>1.7</v>
      </c>
      <c r="E161" s="40" t="n">
        <f aca="false">IF($D$111=0,0,INDEX(Clean!$G$2:$G$101,MATCH(MIN($A161,$D$111),Clean!$AP$2:$AP$101,0)))</f>
        <v>222</v>
      </c>
      <c r="F161" s="40" t="n">
        <f aca="false">IF($F$111=0,0,INDEX(Clean!$G$2:$G$101,MATCH(MIN($A161,$F$111),Clean!$AR$2:$AR$101,0)))</f>
        <v>107.9</v>
      </c>
      <c r="G161" s="45" t="n">
        <f aca="false">IF($F$111=0,0,INDEX(Clean!$K$2:$K$101,MATCH(MIN($A161,$F$111),Clean!$AR$2:$AR$101,0)))</f>
        <v>3.8</v>
      </c>
      <c r="H161" s="37"/>
      <c r="I161" s="37"/>
      <c r="J161" s="37"/>
      <c r="K161" s="37"/>
      <c r="L161" s="37"/>
    </row>
    <row r="162" customFormat="false" ht="15" hidden="false" customHeight="false" outlineLevel="0" collapsed="false">
      <c r="A162" s="37" t="n">
        <v>51</v>
      </c>
      <c r="B162" s="41" t="n">
        <f aca="false">IF($B$111=0,0,INDEX(Clean!$W$2:$W$101,MATCH(MIN($A162,$B$111),Clean!$AN$2:$AN$101,0)))</f>
        <v>2.2</v>
      </c>
      <c r="C162" s="40" t="n">
        <f aca="false">IF($B$111=0,0,INDEX(Clean!$G$2:$G$101,MATCH(MIN($A162,$B$111),Clean!$AN$2:$AN$101,0)))</f>
        <v>295</v>
      </c>
      <c r="D162" s="41" t="n">
        <f aca="false">IF($D$111=0,0,INDEX(Clean!$W$2:$W$101,MATCH(MIN($A162,$D$111),Clean!$AP$2:$AP$101,0)))</f>
        <v>1.9</v>
      </c>
      <c r="E162" s="40" t="n">
        <f aca="false">IF($D$111=0,0,INDEX(Clean!$G$2:$G$101,MATCH(MIN($A162,$D$111),Clean!$AP$2:$AP$101,0)))</f>
        <v>162.2</v>
      </c>
      <c r="F162" s="40" t="n">
        <f aca="false">IF($F$111=0,0,INDEX(Clean!$G$2:$G$101,MATCH(MIN($A162,$F$111),Clean!$AR$2:$AR$101,0)))</f>
        <v>168.2</v>
      </c>
      <c r="G162" s="45" t="n">
        <f aca="false">IF($F$111=0,0,INDEX(Clean!$K$2:$K$101,MATCH(MIN($A162,$F$111),Clean!$AR$2:$AR$101,0)))</f>
        <v>1</v>
      </c>
      <c r="H162" s="37"/>
      <c r="I162" s="37"/>
      <c r="J162" s="37"/>
      <c r="K162" s="37"/>
      <c r="L162" s="37"/>
    </row>
    <row r="163" customFormat="false" ht="15" hidden="false" customHeight="false" outlineLevel="0" collapsed="false">
      <c r="A163" s="37" t="n">
        <v>52</v>
      </c>
      <c r="B163" s="41" t="n">
        <f aca="false">IF($B$111=0,0,INDEX(Clean!$W$2:$W$101,MATCH(MIN($A163,$B$111),Clean!$AN$2:$AN$101,0)))</f>
        <v>2.2</v>
      </c>
      <c r="C163" s="40" t="n">
        <f aca="false">IF($B$111=0,0,INDEX(Clean!$G$2:$G$101,MATCH(MIN($A163,$B$111),Clean!$AN$2:$AN$101,0)))</f>
        <v>295</v>
      </c>
      <c r="D163" s="41" t="n">
        <f aca="false">IF($D$111=0,0,INDEX(Clean!$W$2:$W$101,MATCH(MIN($A163,$D$111),Clean!$AP$2:$AP$101,0)))</f>
        <v>1.7</v>
      </c>
      <c r="E163" s="40" t="n">
        <f aca="false">IF($D$111=0,0,INDEX(Clean!$G$2:$G$101,MATCH(MIN($A163,$D$111),Clean!$AP$2:$AP$101,0)))</f>
        <v>215.5</v>
      </c>
      <c r="F163" s="40" t="n">
        <f aca="false">IF($F$111=0,0,INDEX(Clean!$G$2:$G$101,MATCH(MIN($A163,$F$111),Clean!$AR$2:$AR$101,0)))</f>
        <v>210.3</v>
      </c>
      <c r="G163" s="45" t="n">
        <f aca="false">IF($F$111=0,0,INDEX(Clean!$K$2:$K$101,MATCH(MIN($A163,$F$111),Clean!$AR$2:$AR$101,0)))</f>
        <v>4.6</v>
      </c>
      <c r="H163" s="37"/>
      <c r="I163" s="37"/>
      <c r="J163" s="37"/>
      <c r="K163" s="37"/>
      <c r="L163" s="37"/>
    </row>
    <row r="164" customFormat="false" ht="15" hidden="false" customHeight="false" outlineLevel="0" collapsed="false">
      <c r="A164" s="37" t="n">
        <v>53</v>
      </c>
      <c r="B164" s="41" t="n">
        <f aca="false">IF($B$111=0,0,INDEX(Clean!$W$2:$W$101,MATCH(MIN($A164,$B$111),Clean!$AN$2:$AN$101,0)))</f>
        <v>2.2</v>
      </c>
      <c r="C164" s="40" t="n">
        <f aca="false">IF($B$111=0,0,INDEX(Clean!$G$2:$G$101,MATCH(MIN($A164,$B$111),Clean!$AN$2:$AN$101,0)))</f>
        <v>295</v>
      </c>
      <c r="D164" s="41" t="n">
        <f aca="false">IF($D$111=0,0,INDEX(Clean!$W$2:$W$101,MATCH(MIN($A164,$D$111),Clean!$AP$2:$AP$101,0)))</f>
        <v>1.7</v>
      </c>
      <c r="E164" s="40" t="n">
        <f aca="false">IF($D$111=0,0,INDEX(Clean!$G$2:$G$101,MATCH(MIN($A164,$D$111),Clean!$AP$2:$AP$101,0)))</f>
        <v>187</v>
      </c>
      <c r="F164" s="40" t="n">
        <f aca="false">IF($F$111=0,0,INDEX(Clean!$G$2:$G$101,MATCH(MIN($A164,$F$111),Clean!$AR$2:$AR$101,0)))</f>
        <v>119</v>
      </c>
      <c r="G164" s="45" t="n">
        <f aca="false">IF($F$111=0,0,INDEX(Clean!$K$2:$K$101,MATCH(MIN($A164,$F$111),Clean!$AR$2:$AR$101,0)))</f>
        <v>5</v>
      </c>
      <c r="H164" s="37"/>
      <c r="I164" s="37"/>
      <c r="J164" s="37"/>
      <c r="K164" s="37"/>
      <c r="L164" s="37"/>
    </row>
    <row r="165" customFormat="false" ht="15" hidden="false" customHeight="false" outlineLevel="0" collapsed="false">
      <c r="A165" s="37" t="n">
        <v>54</v>
      </c>
      <c r="B165" s="41" t="n">
        <f aca="false">IF($B$111=0,0,INDEX(Clean!$W$2:$W$101,MATCH(MIN($A165,$B$111),Clean!$AN$2:$AN$101,0)))</f>
        <v>2.2</v>
      </c>
      <c r="C165" s="40" t="n">
        <f aca="false">IF($B$111=0,0,INDEX(Clean!$G$2:$G$101,MATCH(MIN($A165,$B$111),Clean!$AN$2:$AN$101,0)))</f>
        <v>295</v>
      </c>
      <c r="D165" s="41" t="n">
        <f aca="false">IF($D$111=0,0,INDEX(Clean!$W$2:$W$101,MATCH(MIN($A165,$D$111),Clean!$AP$2:$AP$101,0)))</f>
        <v>1.63</v>
      </c>
      <c r="E165" s="40" t="n">
        <f aca="false">IF($D$111=0,0,INDEX(Clean!$G$2:$G$101,MATCH(MIN($A165,$D$111),Clean!$AP$2:$AP$101,0)))</f>
        <v>223</v>
      </c>
      <c r="F165" s="40" t="n">
        <f aca="false">IF($F$111=0,0,INDEX(Clean!$G$2:$G$101,MATCH(MIN($A165,$F$111),Clean!$AR$2:$AR$101,0)))</f>
        <v>198.3</v>
      </c>
      <c r="G165" s="45" t="n">
        <f aca="false">IF($F$111=0,0,INDEX(Clean!$K$2:$K$101,MATCH(MIN($A165,$F$111),Clean!$AR$2:$AR$101,0)))</f>
        <v>4</v>
      </c>
      <c r="H165" s="37"/>
      <c r="I165" s="37"/>
      <c r="J165" s="37"/>
      <c r="K165" s="37"/>
      <c r="L165" s="37"/>
    </row>
    <row r="166" customFormat="false" ht="15" hidden="false" customHeight="false" outlineLevel="0" collapsed="false">
      <c r="A166" s="37" t="n">
        <v>55</v>
      </c>
      <c r="B166" s="41" t="n">
        <f aca="false">IF($B$111=0,0,INDEX(Clean!$W$2:$W$101,MATCH(MIN($A166,$B$111),Clean!$AN$2:$AN$101,0)))</f>
        <v>2.2</v>
      </c>
      <c r="C166" s="40" t="n">
        <f aca="false">IF($B$111=0,0,INDEX(Clean!$G$2:$G$101,MATCH(MIN($A166,$B$111),Clean!$AN$2:$AN$101,0)))</f>
        <v>295</v>
      </c>
      <c r="D166" s="41" t="n">
        <f aca="false">IF($D$111=0,0,INDEX(Clean!$W$2:$W$101,MATCH(MIN($A166,$D$111),Clean!$AP$2:$AP$101,0)))</f>
        <v>1.6</v>
      </c>
      <c r="E166" s="40" t="n">
        <f aca="false">IF($D$111=0,0,INDEX(Clean!$G$2:$G$101,MATCH(MIN($A166,$D$111),Clean!$AP$2:$AP$101,0)))</f>
        <v>204.8</v>
      </c>
      <c r="F166" s="40" t="n">
        <f aca="false">IF($F$111=0,0,INDEX(Clean!$G$2:$G$101,MATCH(MIN($A166,$F$111),Clean!$AR$2:$AR$101,0)))</f>
        <v>410</v>
      </c>
      <c r="G166" s="45" t="n">
        <f aca="false">IF($F$111=0,0,INDEX(Clean!$K$2:$K$101,MATCH(MIN($A166,$F$111),Clean!$AR$2:$AR$101,0)))</f>
        <v>5</v>
      </c>
      <c r="H166" s="37"/>
      <c r="I166" s="37"/>
      <c r="J166" s="37"/>
      <c r="K166" s="37"/>
      <c r="L166" s="37"/>
    </row>
    <row r="167" customFormat="false" ht="15" hidden="false" customHeight="false" outlineLevel="0" collapsed="false">
      <c r="A167" s="37" t="n">
        <v>56</v>
      </c>
      <c r="B167" s="41" t="n">
        <f aca="false">IF($B$111=0,0,INDEX(Clean!$W$2:$W$101,MATCH(MIN($A167,$B$111),Clean!$AN$2:$AN$101,0)))</f>
        <v>2.2</v>
      </c>
      <c r="C167" s="40" t="n">
        <f aca="false">IF($B$111=0,0,INDEX(Clean!$G$2:$G$101,MATCH(MIN($A167,$B$111),Clean!$AN$2:$AN$101,0)))</f>
        <v>295</v>
      </c>
      <c r="D167" s="41" t="n">
        <f aca="false">IF($D$111=0,0,INDEX(Clean!$W$2:$W$101,MATCH(MIN($A167,$D$111),Clean!$AP$2:$AP$101,0)))</f>
        <v>1.63</v>
      </c>
      <c r="E167" s="40" t="n">
        <f aca="false">IF($D$111=0,0,INDEX(Clean!$G$2:$G$101,MATCH(MIN($A167,$D$111),Clean!$AP$2:$AP$101,0)))</f>
        <v>324.2</v>
      </c>
      <c r="F167" s="40" t="n">
        <f aca="false">IF($F$111=0,0,INDEX(Clean!$G$2:$G$101,MATCH(MIN($A167,$F$111),Clean!$AR$2:$AR$101,0)))</f>
        <v>299</v>
      </c>
      <c r="G167" s="45" t="n">
        <f aca="false">IF($F$111=0,0,INDEX(Clean!$K$2:$K$101,MATCH(MIN($A167,$F$111),Clean!$AR$2:$AR$101,0)))</f>
        <v>5</v>
      </c>
      <c r="H167" s="37"/>
      <c r="I167" s="37"/>
      <c r="J167" s="37"/>
      <c r="K167" s="37"/>
      <c r="L167" s="37"/>
    </row>
    <row r="168" customFormat="false" ht="15" hidden="false" customHeight="false" outlineLevel="0" collapsed="false">
      <c r="A168" s="37" t="n">
        <v>57</v>
      </c>
      <c r="B168" s="41" t="n">
        <f aca="false">IF($B$111=0,0,INDEX(Clean!$W$2:$W$101,MATCH(MIN($A168,$B$111),Clean!$AN$2:$AN$101,0)))</f>
        <v>2.2</v>
      </c>
      <c r="C168" s="40" t="n">
        <f aca="false">IF($B$111=0,0,INDEX(Clean!$G$2:$G$101,MATCH(MIN($A168,$B$111),Clean!$AN$2:$AN$101,0)))</f>
        <v>295</v>
      </c>
      <c r="D168" s="41" t="n">
        <f aca="false">IF($D$111=0,0,INDEX(Clean!$W$2:$W$101,MATCH(MIN($A168,$D$111),Clean!$AP$2:$AP$101,0)))</f>
        <v>1.9</v>
      </c>
      <c r="E168" s="40" t="n">
        <f aca="false">IF($D$111=0,0,INDEX(Clean!$G$2:$G$101,MATCH(MIN($A168,$D$111),Clean!$AP$2:$AP$101,0)))</f>
        <v>272.5</v>
      </c>
      <c r="F168" s="40" t="n">
        <f aca="false">IF($F$111=0,0,INDEX(Clean!$G$2:$G$101,MATCH(MIN($A168,$F$111),Clean!$AR$2:$AR$101,0)))</f>
        <v>459.89</v>
      </c>
      <c r="G168" s="45" t="n">
        <f aca="false">IF($F$111=0,0,INDEX(Clean!$K$2:$K$101,MATCH(MIN($A168,$F$111),Clean!$AR$2:$AR$101,0)))</f>
        <v>3</v>
      </c>
      <c r="H168" s="37"/>
      <c r="I168" s="37"/>
      <c r="J168" s="37"/>
      <c r="K168" s="37"/>
      <c r="L168" s="37"/>
    </row>
    <row r="169" customFormat="false" ht="15" hidden="false" customHeight="false" outlineLevel="0" collapsed="false">
      <c r="A169" s="37" t="n">
        <v>58</v>
      </c>
      <c r="B169" s="41" t="n">
        <f aca="false">IF($B$111=0,0,INDEX(Clean!$W$2:$W$101,MATCH(MIN($A169,$B$111),Clean!$AN$2:$AN$101,0)))</f>
        <v>2.2</v>
      </c>
      <c r="C169" s="40" t="n">
        <f aca="false">IF($B$111=0,0,INDEX(Clean!$G$2:$G$101,MATCH(MIN($A169,$B$111),Clean!$AN$2:$AN$101,0)))</f>
        <v>295</v>
      </c>
      <c r="D169" s="41" t="n">
        <f aca="false">IF($D$111=0,0,INDEX(Clean!$W$2:$W$101,MATCH(MIN($A169,$D$111),Clean!$AP$2:$AP$101,0)))</f>
        <v>1.65</v>
      </c>
      <c r="E169" s="40" t="n">
        <f aca="false">IF($D$111=0,0,INDEX(Clean!$G$2:$G$101,MATCH(MIN($A169,$D$111),Clean!$AP$2:$AP$101,0)))</f>
        <v>165</v>
      </c>
      <c r="F169" s="40" t="n">
        <f aca="false">IF($F$111=0,0,INDEX(Clean!$G$2:$G$101,MATCH(MIN($A169,$F$111),Clean!$AR$2:$AR$101,0)))</f>
        <v>380.3</v>
      </c>
      <c r="G169" s="45" t="n">
        <f aca="false">IF($F$111=0,0,INDEX(Clean!$K$2:$K$101,MATCH(MIN($A169,$F$111),Clean!$AR$2:$AR$101,0)))</f>
        <v>5</v>
      </c>
      <c r="H169" s="37"/>
      <c r="I169" s="37"/>
      <c r="J169" s="37"/>
      <c r="K169" s="37"/>
      <c r="L169" s="37"/>
    </row>
    <row r="170" customFormat="false" ht="15" hidden="false" customHeight="false" outlineLevel="0" collapsed="false">
      <c r="A170" s="37" t="n">
        <v>59</v>
      </c>
      <c r="B170" s="41" t="n">
        <f aca="false">IF($B$111=0,0,INDEX(Clean!$W$2:$W$101,MATCH(MIN($A170,$B$111),Clean!$AN$2:$AN$101,0)))</f>
        <v>2.2</v>
      </c>
      <c r="C170" s="40" t="n">
        <f aca="false">IF($B$111=0,0,INDEX(Clean!$G$2:$G$101,MATCH(MIN($A170,$B$111),Clean!$AN$2:$AN$101,0)))</f>
        <v>295</v>
      </c>
      <c r="D170" s="41" t="n">
        <f aca="false">IF($D$111=0,0,INDEX(Clean!$W$2:$W$101,MATCH(MIN($A170,$D$111),Clean!$AP$2:$AP$101,0)))</f>
        <v>1.28</v>
      </c>
      <c r="E170" s="40" t="n">
        <f aca="false">IF($D$111=0,0,INDEX(Clean!$G$2:$G$101,MATCH(MIN($A170,$D$111),Clean!$AP$2:$AP$101,0)))</f>
        <v>469</v>
      </c>
      <c r="F170" s="40" t="n">
        <f aca="false">IF($F$111=0,0,INDEX(Clean!$G$2:$G$101,MATCH(MIN($A170,$F$111),Clean!$AR$2:$AR$101,0)))</f>
        <v>280</v>
      </c>
      <c r="G170" s="45" t="n">
        <f aca="false">IF($F$111=0,0,INDEX(Clean!$K$2:$K$101,MATCH(MIN($A170,$F$111),Clean!$AR$2:$AR$101,0)))</f>
        <v>4.3</v>
      </c>
      <c r="H170" s="37"/>
      <c r="I170" s="37"/>
      <c r="J170" s="37"/>
      <c r="K170" s="37"/>
      <c r="L170" s="37"/>
    </row>
    <row r="171" customFormat="false" ht="15" hidden="false" customHeight="false" outlineLevel="0" collapsed="false">
      <c r="A171" s="37" t="n">
        <v>60</v>
      </c>
      <c r="B171" s="41" t="n">
        <f aca="false">IF($B$111=0,0,INDEX(Clean!$W$2:$W$101,MATCH(MIN($A171,$B$111),Clean!$AN$2:$AN$101,0)))</f>
        <v>2.2</v>
      </c>
      <c r="C171" s="40" t="n">
        <f aca="false">IF($B$111=0,0,INDEX(Clean!$G$2:$G$101,MATCH(MIN($A171,$B$111),Clean!$AN$2:$AN$101,0)))</f>
        <v>295</v>
      </c>
      <c r="D171" s="41" t="n">
        <f aca="false">IF($D$111=0,0,INDEX(Clean!$W$2:$W$101,MATCH(MIN($A171,$D$111),Clean!$AP$2:$AP$101,0)))</f>
        <v>1.63</v>
      </c>
      <c r="E171" s="40" t="n">
        <f aca="false">IF($D$111=0,0,INDEX(Clean!$G$2:$G$101,MATCH(MIN($A171,$D$111),Clean!$AP$2:$AP$101,0)))</f>
        <v>255.7</v>
      </c>
      <c r="F171" s="40" t="n">
        <f aca="false">IF($F$111=0,0,INDEX(Clean!$G$2:$G$101,MATCH(MIN($A171,$F$111),Clean!$AR$2:$AR$101,0)))</f>
        <v>314</v>
      </c>
      <c r="G171" s="45" t="n">
        <f aca="false">IF($F$111=0,0,INDEX(Clean!$K$2:$K$101,MATCH(MIN($A171,$F$111),Clean!$AR$2:$AR$101,0)))</f>
        <v>5</v>
      </c>
      <c r="H171" s="37"/>
      <c r="I171" s="37"/>
      <c r="J171" s="37"/>
      <c r="K171" s="37"/>
      <c r="L171" s="37"/>
    </row>
    <row r="172" customFormat="false" ht="15" hidden="false" customHeight="false" outlineLevel="0" collapsed="false">
      <c r="A172" s="37" t="n">
        <v>61</v>
      </c>
      <c r="B172" s="41" t="n">
        <f aca="false">IF($B$111=0,0,INDEX(Clean!$W$2:$W$101,MATCH(MIN($A172,$B$111),Clean!$AN$2:$AN$101,0)))</f>
        <v>2.2</v>
      </c>
      <c r="C172" s="40" t="n">
        <f aca="false">IF($B$111=0,0,INDEX(Clean!$G$2:$G$101,MATCH(MIN($A172,$B$111),Clean!$AN$2:$AN$101,0)))</f>
        <v>295</v>
      </c>
      <c r="D172" s="41" t="n">
        <f aca="false">IF($D$111=0,0,INDEX(Clean!$W$2:$W$101,MATCH(MIN($A172,$D$111),Clean!$AP$2:$AP$101,0)))</f>
        <v>1.63</v>
      </c>
      <c r="E172" s="40" t="n">
        <f aca="false">IF($D$111=0,0,INDEX(Clean!$G$2:$G$101,MATCH(MIN($A172,$D$111),Clean!$AP$2:$AP$101,0)))</f>
        <v>255.7</v>
      </c>
      <c r="F172" s="40" t="n">
        <f aca="false">IF($F$111=0,0,INDEX(Clean!$G$2:$G$101,MATCH(MIN($A172,$F$111),Clean!$AR$2:$AR$101,0)))</f>
        <v>215.5</v>
      </c>
      <c r="G172" s="45" t="n">
        <f aca="false">IF($F$111=0,0,INDEX(Clean!$K$2:$K$101,MATCH(MIN($A172,$F$111),Clean!$AR$2:$AR$101,0)))</f>
        <v>4.4</v>
      </c>
      <c r="H172" s="37"/>
      <c r="I172" s="37"/>
      <c r="J172" s="37"/>
      <c r="K172" s="37"/>
      <c r="L172" s="37"/>
    </row>
    <row r="173" customFormat="false" ht="15" hidden="false" customHeight="false" outlineLevel="0" collapsed="false">
      <c r="A173" s="37" t="n">
        <v>62</v>
      </c>
      <c r="B173" s="41" t="n">
        <f aca="false">IF($B$111=0,0,INDEX(Clean!$W$2:$W$101,MATCH(MIN($A173,$B$111),Clean!$AN$2:$AN$101,0)))</f>
        <v>2.2</v>
      </c>
      <c r="C173" s="40" t="n">
        <f aca="false">IF($B$111=0,0,INDEX(Clean!$G$2:$G$101,MATCH(MIN($A173,$B$111),Clean!$AN$2:$AN$101,0)))</f>
        <v>295</v>
      </c>
      <c r="D173" s="41" t="n">
        <f aca="false">IF($D$111=0,0,INDEX(Clean!$W$2:$W$101,MATCH(MIN($A173,$D$111),Clean!$AP$2:$AP$101,0)))</f>
        <v>1.63</v>
      </c>
      <c r="E173" s="40" t="n">
        <f aca="false">IF($D$111=0,0,INDEX(Clean!$G$2:$G$101,MATCH(MIN($A173,$D$111),Clean!$AP$2:$AP$101,0)))</f>
        <v>255.7</v>
      </c>
      <c r="F173" s="40" t="n">
        <f aca="false">IF($F$111=0,0,INDEX(Clean!$G$2:$G$101,MATCH(MIN($A173,$F$111),Clean!$AR$2:$AR$101,0)))</f>
        <v>156</v>
      </c>
      <c r="G173" s="45" t="n">
        <f aca="false">IF($F$111=0,0,INDEX(Clean!$K$2:$K$101,MATCH(MIN($A173,$F$111),Clean!$AR$2:$AR$101,0)))</f>
        <v>4</v>
      </c>
      <c r="H173" s="37"/>
      <c r="I173" s="37"/>
      <c r="J173" s="37"/>
      <c r="K173" s="37"/>
      <c r="L173" s="37"/>
    </row>
    <row r="174" customFormat="false" ht="15" hidden="false" customHeight="false" outlineLevel="0" collapsed="false">
      <c r="A174" s="37" t="n">
        <v>63</v>
      </c>
      <c r="B174" s="41" t="n">
        <f aca="false">IF($B$111=0,0,INDEX(Clean!$W$2:$W$101,MATCH(MIN($A174,$B$111),Clean!$AN$2:$AN$101,0)))</f>
        <v>2.2</v>
      </c>
      <c r="C174" s="40" t="n">
        <f aca="false">IF($B$111=0,0,INDEX(Clean!$G$2:$G$101,MATCH(MIN($A174,$B$111),Clean!$AN$2:$AN$101,0)))</f>
        <v>295</v>
      </c>
      <c r="D174" s="41" t="n">
        <f aca="false">IF($D$111=0,0,INDEX(Clean!$W$2:$W$101,MATCH(MIN($A174,$D$111),Clean!$AP$2:$AP$101,0)))</f>
        <v>1.63</v>
      </c>
      <c r="E174" s="40" t="n">
        <f aca="false">IF($D$111=0,0,INDEX(Clean!$G$2:$G$101,MATCH(MIN($A174,$D$111),Clean!$AP$2:$AP$101,0)))</f>
        <v>255.7</v>
      </c>
      <c r="F174" s="40" t="n">
        <f aca="false">IF($F$111=0,0,INDEX(Clean!$G$2:$G$101,MATCH(MIN($A174,$F$111),Clean!$AR$2:$AR$101,0)))</f>
        <v>312</v>
      </c>
      <c r="G174" s="45" t="n">
        <f aca="false">IF($F$111=0,0,INDEX(Clean!$K$2:$K$101,MATCH(MIN($A174,$F$111),Clean!$AR$2:$AR$101,0)))</f>
        <v>4.6</v>
      </c>
      <c r="H174" s="37"/>
      <c r="I174" s="37"/>
      <c r="J174" s="37"/>
      <c r="K174" s="37"/>
      <c r="L174" s="37"/>
    </row>
    <row r="175" customFormat="false" ht="15" hidden="false" customHeight="false" outlineLevel="0" collapsed="false">
      <c r="A175" s="37" t="n">
        <v>64</v>
      </c>
      <c r="B175" s="41" t="n">
        <f aca="false">IF($B$111=0,0,INDEX(Clean!$W$2:$W$101,MATCH(MIN($A175,$B$111),Clean!$AN$2:$AN$101,0)))</f>
        <v>2.2</v>
      </c>
      <c r="C175" s="40" t="n">
        <f aca="false">IF($B$111=0,0,INDEX(Clean!$G$2:$G$101,MATCH(MIN($A175,$B$111),Clean!$AN$2:$AN$101,0)))</f>
        <v>295</v>
      </c>
      <c r="D175" s="41" t="n">
        <f aca="false">IF($D$111=0,0,INDEX(Clean!$W$2:$W$101,MATCH(MIN($A175,$D$111),Clean!$AP$2:$AP$101,0)))</f>
        <v>1.63</v>
      </c>
      <c r="E175" s="40" t="n">
        <f aca="false">IF($D$111=0,0,INDEX(Clean!$G$2:$G$101,MATCH(MIN($A175,$D$111),Clean!$AP$2:$AP$101,0)))</f>
        <v>255.7</v>
      </c>
      <c r="F175" s="40" t="n">
        <f aca="false">IF($F$111=0,0,INDEX(Clean!$G$2:$G$101,MATCH(MIN($A175,$F$111),Clean!$AR$2:$AR$101,0)))</f>
        <v>102.8</v>
      </c>
      <c r="G175" s="45" t="n">
        <f aca="false">IF($F$111=0,0,INDEX(Clean!$K$2:$K$101,MATCH(MIN($A175,$F$111),Clean!$AR$2:$AR$101,0)))</f>
        <v>3.6</v>
      </c>
      <c r="H175" s="37"/>
      <c r="I175" s="37"/>
      <c r="J175" s="37"/>
      <c r="K175" s="37"/>
      <c r="L175" s="37"/>
    </row>
    <row r="176" customFormat="false" ht="15" hidden="false" customHeight="false" outlineLevel="0" collapsed="false">
      <c r="A176" s="37" t="n">
        <v>65</v>
      </c>
      <c r="B176" s="41" t="n">
        <f aca="false">IF($B$111=0,0,INDEX(Clean!$W$2:$W$101,MATCH(MIN($A176,$B$111),Clean!$AN$2:$AN$101,0)))</f>
        <v>2.2</v>
      </c>
      <c r="C176" s="40" t="n">
        <f aca="false">IF($B$111=0,0,INDEX(Clean!$G$2:$G$101,MATCH(MIN($A176,$B$111),Clean!$AN$2:$AN$101,0)))</f>
        <v>295</v>
      </c>
      <c r="D176" s="41" t="n">
        <f aca="false">IF($D$111=0,0,INDEX(Clean!$W$2:$W$101,MATCH(MIN($A176,$D$111),Clean!$AP$2:$AP$101,0)))</f>
        <v>1.63</v>
      </c>
      <c r="E176" s="40" t="n">
        <f aca="false">IF($D$111=0,0,INDEX(Clean!$G$2:$G$101,MATCH(MIN($A176,$D$111),Clean!$AP$2:$AP$101,0)))</f>
        <v>255.7</v>
      </c>
      <c r="F176" s="40" t="n">
        <f aca="false">IF($F$111=0,0,INDEX(Clean!$G$2:$G$101,MATCH(MIN($A176,$F$111),Clean!$AR$2:$AR$101,0)))</f>
        <v>125.8</v>
      </c>
      <c r="G176" s="45" t="n">
        <f aca="false">IF($F$111=0,0,INDEX(Clean!$K$2:$K$101,MATCH(MIN($A176,$F$111),Clean!$AR$2:$AR$101,0)))</f>
        <v>5</v>
      </c>
      <c r="H176" s="37"/>
      <c r="I176" s="37"/>
      <c r="J176" s="37"/>
      <c r="K176" s="37"/>
      <c r="L176" s="37"/>
    </row>
    <row r="177" customFormat="false" ht="15" hidden="false" customHeight="false" outlineLevel="0" collapsed="false">
      <c r="A177" s="37" t="n">
        <v>66</v>
      </c>
      <c r="B177" s="41" t="n">
        <f aca="false">IF($B$111=0,0,INDEX(Clean!$W$2:$W$101,MATCH(MIN($A177,$B$111),Clean!$AN$2:$AN$101,0)))</f>
        <v>2.2</v>
      </c>
      <c r="C177" s="40" t="n">
        <f aca="false">IF($B$111=0,0,INDEX(Clean!$G$2:$G$101,MATCH(MIN($A177,$B$111),Clean!$AN$2:$AN$101,0)))</f>
        <v>295</v>
      </c>
      <c r="D177" s="41" t="n">
        <f aca="false">IF($D$111=0,0,INDEX(Clean!$W$2:$W$101,MATCH(MIN($A177,$D$111),Clean!$AP$2:$AP$101,0)))</f>
        <v>1.63</v>
      </c>
      <c r="E177" s="40" t="n">
        <f aca="false">IF($D$111=0,0,INDEX(Clean!$G$2:$G$101,MATCH(MIN($A177,$D$111),Clean!$AP$2:$AP$101,0)))</f>
        <v>255.7</v>
      </c>
      <c r="F177" s="40" t="n">
        <f aca="false">IF($F$111=0,0,INDEX(Clean!$G$2:$G$101,MATCH(MIN($A177,$F$111),Clean!$AR$2:$AR$101,0)))</f>
        <v>185</v>
      </c>
      <c r="G177" s="45" t="n">
        <f aca="false">IF($F$111=0,0,INDEX(Clean!$K$2:$K$101,MATCH(MIN($A177,$F$111),Clean!$AR$2:$AR$101,0)))</f>
        <v>4.3</v>
      </c>
      <c r="H177" s="37"/>
      <c r="I177" s="37"/>
      <c r="J177" s="37"/>
      <c r="K177" s="37"/>
      <c r="L177" s="37"/>
    </row>
    <row r="178" customFormat="false" ht="15" hidden="false" customHeight="false" outlineLevel="0" collapsed="false">
      <c r="A178" s="37" t="n">
        <v>67</v>
      </c>
      <c r="B178" s="41" t="n">
        <f aca="false">IF($B$111=0,0,INDEX(Clean!$W$2:$W$101,MATCH(MIN($A178,$B$111),Clean!$AN$2:$AN$101,0)))</f>
        <v>2.2</v>
      </c>
      <c r="C178" s="40" t="n">
        <f aca="false">IF($B$111=0,0,INDEX(Clean!$G$2:$G$101,MATCH(MIN($A178,$B$111),Clean!$AN$2:$AN$101,0)))</f>
        <v>295</v>
      </c>
      <c r="D178" s="41" t="n">
        <f aca="false">IF($D$111=0,0,INDEX(Clean!$W$2:$W$101,MATCH(MIN($A178,$D$111),Clean!$AP$2:$AP$101,0)))</f>
        <v>1.63</v>
      </c>
      <c r="E178" s="40" t="n">
        <f aca="false">IF($D$111=0,0,INDEX(Clean!$G$2:$G$101,MATCH(MIN($A178,$D$111),Clean!$AP$2:$AP$101,0)))</f>
        <v>255.7</v>
      </c>
      <c r="F178" s="40" t="n">
        <f aca="false">IF($F$111=0,0,INDEX(Clean!$G$2:$G$101,MATCH(MIN($A178,$F$111),Clean!$AR$2:$AR$101,0)))</f>
        <v>145.8</v>
      </c>
      <c r="G178" s="45" t="n">
        <f aca="false">IF($F$111=0,0,INDEX(Clean!$K$2:$K$101,MATCH(MIN($A178,$F$111),Clean!$AR$2:$AR$101,0)))</f>
        <v>4</v>
      </c>
      <c r="H178" s="37"/>
      <c r="I178" s="37"/>
      <c r="J178" s="37"/>
      <c r="K178" s="37"/>
      <c r="L178" s="37"/>
    </row>
    <row r="179" customFormat="false" ht="15" hidden="false" customHeight="false" outlineLevel="0" collapsed="false">
      <c r="A179" s="37" t="n">
        <v>68</v>
      </c>
      <c r="B179" s="41" t="n">
        <f aca="false">IF($B$111=0,0,INDEX(Clean!$W$2:$W$101,MATCH(MIN($A179,$B$111),Clean!$AN$2:$AN$101,0)))</f>
        <v>2.2</v>
      </c>
      <c r="C179" s="40" t="n">
        <f aca="false">IF($B$111=0,0,INDEX(Clean!$G$2:$G$101,MATCH(MIN($A179,$B$111),Clean!$AN$2:$AN$101,0)))</f>
        <v>295</v>
      </c>
      <c r="D179" s="41" t="n">
        <f aca="false">IF($D$111=0,0,INDEX(Clean!$W$2:$W$101,MATCH(MIN($A179,$D$111),Clean!$AP$2:$AP$101,0)))</f>
        <v>1.63</v>
      </c>
      <c r="E179" s="40" t="n">
        <f aca="false">IF($D$111=0,0,INDEX(Clean!$G$2:$G$101,MATCH(MIN($A179,$D$111),Clean!$AP$2:$AP$101,0)))</f>
        <v>255.7</v>
      </c>
      <c r="F179" s="40" t="n">
        <f aca="false">IF($F$111=0,0,INDEX(Clean!$G$2:$G$101,MATCH(MIN($A179,$F$111),Clean!$AR$2:$AR$101,0)))</f>
        <v>287</v>
      </c>
      <c r="G179" s="45" t="n">
        <f aca="false">IF($F$111=0,0,INDEX(Clean!$K$2:$K$101,MATCH(MIN($A179,$F$111),Clean!$AR$2:$AR$101,0)))</f>
        <v>3.3</v>
      </c>
      <c r="H179" s="37"/>
      <c r="I179" s="37"/>
      <c r="J179" s="37"/>
      <c r="K179" s="37"/>
      <c r="L179" s="37"/>
    </row>
    <row r="180" customFormat="false" ht="15" hidden="false" customHeight="false" outlineLevel="0" collapsed="false">
      <c r="A180" s="37" t="n">
        <v>69</v>
      </c>
      <c r="B180" s="41" t="n">
        <f aca="false">IF($B$111=0,0,INDEX(Clean!$W$2:$W$101,MATCH(MIN($A180,$B$111),Clean!$AN$2:$AN$101,0)))</f>
        <v>2.2</v>
      </c>
      <c r="C180" s="40" t="n">
        <f aca="false">IF($B$111=0,0,INDEX(Clean!$G$2:$G$101,MATCH(MIN($A180,$B$111),Clean!$AN$2:$AN$101,0)))</f>
        <v>295</v>
      </c>
      <c r="D180" s="41" t="n">
        <f aca="false">IF($D$111=0,0,INDEX(Clean!$W$2:$W$101,MATCH(MIN($A180,$D$111),Clean!$AP$2:$AP$101,0)))</f>
        <v>1.63</v>
      </c>
      <c r="E180" s="40" t="n">
        <f aca="false">IF($D$111=0,0,INDEX(Clean!$G$2:$G$101,MATCH(MIN($A180,$D$111),Clean!$AP$2:$AP$101,0)))</f>
        <v>255.7</v>
      </c>
      <c r="F180" s="40" t="n">
        <f aca="false">IF($F$111=0,0,INDEX(Clean!$G$2:$G$101,MATCH(MIN($A180,$F$111),Clean!$AR$2:$AR$101,0)))</f>
        <v>144</v>
      </c>
      <c r="G180" s="45" t="n">
        <f aca="false">IF($F$111=0,0,INDEX(Clean!$K$2:$K$101,MATCH(MIN($A180,$F$111),Clean!$AR$2:$AR$101,0)))</f>
        <v>5</v>
      </c>
      <c r="H180" s="37"/>
      <c r="I180" s="37"/>
      <c r="J180" s="37"/>
      <c r="K180" s="37"/>
      <c r="L180" s="37"/>
    </row>
    <row r="181" customFormat="false" ht="15" hidden="false" customHeight="false" outlineLevel="0" collapsed="false">
      <c r="A181" s="37" t="n">
        <v>70</v>
      </c>
      <c r="B181" s="41" t="n">
        <f aca="false">IF($B$111=0,0,INDEX(Clean!$W$2:$W$101,MATCH(MIN($A181,$B$111),Clean!$AN$2:$AN$101,0)))</f>
        <v>2.2</v>
      </c>
      <c r="C181" s="40" t="n">
        <f aca="false">IF($B$111=0,0,INDEX(Clean!$G$2:$G$101,MATCH(MIN($A181,$B$111),Clean!$AN$2:$AN$101,0)))</f>
        <v>295</v>
      </c>
      <c r="D181" s="41" t="n">
        <f aca="false">IF($D$111=0,0,INDEX(Clean!$W$2:$W$101,MATCH(MIN($A181,$D$111),Clean!$AP$2:$AP$101,0)))</f>
        <v>1.63</v>
      </c>
      <c r="E181" s="40" t="n">
        <f aca="false">IF($D$111=0,0,INDEX(Clean!$G$2:$G$101,MATCH(MIN($A181,$D$111),Clean!$AP$2:$AP$101,0)))</f>
        <v>255.7</v>
      </c>
      <c r="F181" s="40" t="n">
        <f aca="false">IF($F$111=0,0,INDEX(Clean!$G$2:$G$101,MATCH(MIN($A181,$F$111),Clean!$AR$2:$AR$101,0)))</f>
        <v>187.5</v>
      </c>
      <c r="G181" s="45" t="n">
        <f aca="false">IF($F$111=0,0,INDEX(Clean!$K$2:$K$101,MATCH(MIN($A181,$F$111),Clean!$AR$2:$AR$101,0)))</f>
        <v>4.3</v>
      </c>
      <c r="H181" s="37"/>
      <c r="I181" s="37"/>
      <c r="J181" s="37"/>
      <c r="K181" s="37"/>
      <c r="L181" s="37"/>
    </row>
    <row r="182" customFormat="false" ht="15" hidden="false" customHeight="false" outlineLevel="0" collapsed="false">
      <c r="A182" s="37" t="n">
        <v>71</v>
      </c>
      <c r="B182" s="41" t="n">
        <f aca="false">IF($B$111=0,0,INDEX(Clean!$W$2:$W$101,MATCH(MIN($A182,$B$111),Clean!$AN$2:$AN$101,0)))</f>
        <v>2.2</v>
      </c>
      <c r="C182" s="40" t="n">
        <f aca="false">IF($B$111=0,0,INDEX(Clean!$G$2:$G$101,MATCH(MIN($A182,$B$111),Clean!$AN$2:$AN$101,0)))</f>
        <v>295</v>
      </c>
      <c r="D182" s="41" t="n">
        <f aca="false">IF($D$111=0,0,INDEX(Clean!$W$2:$W$101,MATCH(MIN($A182,$D$111),Clean!$AP$2:$AP$101,0)))</f>
        <v>1.63</v>
      </c>
      <c r="E182" s="40" t="n">
        <f aca="false">IF($D$111=0,0,INDEX(Clean!$G$2:$G$101,MATCH(MIN($A182,$D$111),Clean!$AP$2:$AP$101,0)))</f>
        <v>255.7</v>
      </c>
      <c r="F182" s="40" t="n">
        <f aca="false">IF($F$111=0,0,INDEX(Clean!$G$2:$G$101,MATCH(MIN($A182,$F$111),Clean!$AR$2:$AR$101,0)))</f>
        <v>129.9</v>
      </c>
      <c r="G182" s="45" t="n">
        <f aca="false">IF($F$111=0,0,INDEX(Clean!$K$2:$K$101,MATCH(MIN($A182,$F$111),Clean!$AR$2:$AR$101,0)))</f>
        <v>5</v>
      </c>
      <c r="H182" s="37"/>
      <c r="I182" s="37"/>
      <c r="J182" s="37"/>
      <c r="K182" s="37"/>
      <c r="L182" s="37"/>
    </row>
    <row r="183" customFormat="false" ht="15" hidden="false" customHeight="false" outlineLevel="0" collapsed="false">
      <c r="A183" s="37" t="n">
        <v>72</v>
      </c>
      <c r="B183" s="41" t="n">
        <f aca="false">IF($B$111=0,0,INDEX(Clean!$W$2:$W$101,MATCH(MIN($A183,$B$111),Clean!$AN$2:$AN$101,0)))</f>
        <v>2.2</v>
      </c>
      <c r="C183" s="40" t="n">
        <f aca="false">IF($B$111=0,0,INDEX(Clean!$G$2:$G$101,MATCH(MIN($A183,$B$111),Clean!$AN$2:$AN$101,0)))</f>
        <v>295</v>
      </c>
      <c r="D183" s="41" t="n">
        <f aca="false">IF($D$111=0,0,INDEX(Clean!$W$2:$W$101,MATCH(MIN($A183,$D$111),Clean!$AP$2:$AP$101,0)))</f>
        <v>1.63</v>
      </c>
      <c r="E183" s="40" t="n">
        <f aca="false">IF($D$111=0,0,INDEX(Clean!$G$2:$G$101,MATCH(MIN($A183,$D$111),Clean!$AP$2:$AP$101,0)))</f>
        <v>255.7</v>
      </c>
      <c r="F183" s="40" t="n">
        <f aca="false">IF($F$111=0,0,INDEX(Clean!$G$2:$G$101,MATCH(MIN($A183,$F$111),Clean!$AR$2:$AR$101,0)))</f>
        <v>277</v>
      </c>
      <c r="G183" s="45" t="n">
        <f aca="false">IF($F$111=0,0,INDEX(Clean!$K$2:$K$101,MATCH(MIN($A183,$F$111),Clean!$AR$2:$AR$101,0)))</f>
        <v>5</v>
      </c>
      <c r="H183" s="37"/>
      <c r="I183" s="37"/>
      <c r="J183" s="37"/>
      <c r="K183" s="37"/>
      <c r="L183" s="37"/>
    </row>
    <row r="184" customFormat="false" ht="15" hidden="false" customHeight="false" outlineLevel="0" collapsed="false">
      <c r="A184" s="37" t="n">
        <v>73</v>
      </c>
      <c r="B184" s="41" t="n">
        <f aca="false">IF($B$111=0,0,INDEX(Clean!$W$2:$W$101,MATCH(MIN($A184,$B$111),Clean!$AN$2:$AN$101,0)))</f>
        <v>2.2</v>
      </c>
      <c r="C184" s="40" t="n">
        <f aca="false">IF($B$111=0,0,INDEX(Clean!$G$2:$G$101,MATCH(MIN($A184,$B$111),Clean!$AN$2:$AN$101,0)))</f>
        <v>295</v>
      </c>
      <c r="D184" s="41" t="n">
        <f aca="false">IF($D$111=0,0,INDEX(Clean!$W$2:$W$101,MATCH(MIN($A184,$D$111),Clean!$AP$2:$AP$101,0)))</f>
        <v>1.63</v>
      </c>
      <c r="E184" s="40" t="n">
        <f aca="false">IF($D$111=0,0,INDEX(Clean!$G$2:$G$101,MATCH(MIN($A184,$D$111),Clean!$AP$2:$AP$101,0)))</f>
        <v>255.7</v>
      </c>
      <c r="F184" s="40" t="n">
        <f aca="false">IF($F$111=0,0,INDEX(Clean!$G$2:$G$101,MATCH(MIN($A184,$F$111),Clean!$AR$2:$AR$101,0)))</f>
        <v>127</v>
      </c>
      <c r="G184" s="45" t="n">
        <f aca="false">IF($F$111=0,0,INDEX(Clean!$K$2:$K$101,MATCH(MIN($A184,$F$111),Clean!$AR$2:$AR$101,0)))</f>
        <v>5</v>
      </c>
      <c r="H184" s="37"/>
      <c r="I184" s="37"/>
      <c r="J184" s="37"/>
      <c r="K184" s="37"/>
      <c r="L184" s="37"/>
    </row>
    <row r="185" customFormat="false" ht="15" hidden="false" customHeight="false" outlineLevel="0" collapsed="false">
      <c r="A185" s="37" t="n">
        <v>74</v>
      </c>
      <c r="B185" s="41" t="n">
        <f aca="false">IF($B$111=0,0,INDEX(Clean!$W$2:$W$101,MATCH(MIN($A185,$B$111),Clean!$AN$2:$AN$101,0)))</f>
        <v>2.2</v>
      </c>
      <c r="C185" s="40" t="n">
        <f aca="false">IF($B$111=0,0,INDEX(Clean!$G$2:$G$101,MATCH(MIN($A185,$B$111),Clean!$AN$2:$AN$101,0)))</f>
        <v>295</v>
      </c>
      <c r="D185" s="41" t="n">
        <f aca="false">IF($D$111=0,0,INDEX(Clean!$W$2:$W$101,MATCH(MIN($A185,$D$111),Clean!$AP$2:$AP$101,0)))</f>
        <v>1.63</v>
      </c>
      <c r="E185" s="40" t="n">
        <f aca="false">IF($D$111=0,0,INDEX(Clean!$G$2:$G$101,MATCH(MIN($A185,$D$111),Clean!$AP$2:$AP$101,0)))</f>
        <v>255.7</v>
      </c>
      <c r="F185" s="40" t="n">
        <f aca="false">IF($F$111=0,0,INDEX(Clean!$G$2:$G$101,MATCH(MIN($A185,$F$111),Clean!$AR$2:$AR$101,0)))</f>
        <v>249</v>
      </c>
      <c r="G185" s="45" t="n">
        <f aca="false">IF($F$111=0,0,INDEX(Clean!$K$2:$K$101,MATCH(MIN($A185,$F$111),Clean!$AR$2:$AR$101,0)))</f>
        <v>5</v>
      </c>
      <c r="H185" s="37"/>
      <c r="I185" s="37"/>
      <c r="J185" s="37"/>
      <c r="K185" s="37"/>
      <c r="L185" s="37"/>
    </row>
    <row r="186" customFormat="false" ht="15" hidden="false" customHeight="false" outlineLevel="0" collapsed="false">
      <c r="A186" s="37" t="n">
        <v>75</v>
      </c>
      <c r="B186" s="41" t="n">
        <f aca="false">IF($B$111=0,0,INDEX(Clean!$W$2:$W$101,MATCH(MIN($A186,$B$111),Clean!$AN$2:$AN$101,0)))</f>
        <v>2.2</v>
      </c>
      <c r="C186" s="40" t="n">
        <f aca="false">IF($B$111=0,0,INDEX(Clean!$G$2:$G$101,MATCH(MIN($A186,$B$111),Clean!$AN$2:$AN$101,0)))</f>
        <v>295</v>
      </c>
      <c r="D186" s="41" t="n">
        <f aca="false">IF($D$111=0,0,INDEX(Clean!$W$2:$W$101,MATCH(MIN($A186,$D$111),Clean!$AP$2:$AP$101,0)))</f>
        <v>1.63</v>
      </c>
      <c r="E186" s="40" t="n">
        <f aca="false">IF($D$111=0,0,INDEX(Clean!$G$2:$G$101,MATCH(MIN($A186,$D$111),Clean!$AP$2:$AP$101,0)))</f>
        <v>255.7</v>
      </c>
      <c r="F186" s="40" t="n">
        <f aca="false">IF($F$111=0,0,INDEX(Clean!$G$2:$G$101,MATCH(MIN($A186,$F$111),Clean!$AR$2:$AR$101,0)))</f>
        <v>155.8</v>
      </c>
      <c r="G186" s="45" t="n">
        <f aca="false">IF($F$111=0,0,INDEX(Clean!$K$2:$K$101,MATCH(MIN($A186,$F$111),Clean!$AR$2:$AR$101,0)))</f>
        <v>5</v>
      </c>
      <c r="H186" s="37"/>
      <c r="I186" s="37"/>
      <c r="J186" s="37"/>
      <c r="K186" s="37"/>
      <c r="L186" s="37"/>
    </row>
    <row r="187" customFormat="false" ht="15" hidden="false" customHeight="false" outlineLevel="0" collapsed="false">
      <c r="A187" s="37" t="n">
        <v>76</v>
      </c>
      <c r="B187" s="41" t="n">
        <f aca="false">IF($B$111=0,0,INDEX(Clean!$W$2:$W$101,MATCH(MIN($A187,$B$111),Clean!$AN$2:$AN$101,0)))</f>
        <v>2.2</v>
      </c>
      <c r="C187" s="40" t="n">
        <f aca="false">IF($B$111=0,0,INDEX(Clean!$G$2:$G$101,MATCH(MIN($A187,$B$111),Clean!$AN$2:$AN$101,0)))</f>
        <v>295</v>
      </c>
      <c r="D187" s="41" t="n">
        <f aca="false">IF($D$111=0,0,INDEX(Clean!$W$2:$W$101,MATCH(MIN($A187,$D$111),Clean!$AP$2:$AP$101,0)))</f>
        <v>1.63</v>
      </c>
      <c r="E187" s="40" t="n">
        <f aca="false">IF($D$111=0,0,INDEX(Clean!$G$2:$G$101,MATCH(MIN($A187,$D$111),Clean!$AP$2:$AP$101,0)))</f>
        <v>255.7</v>
      </c>
      <c r="F187" s="40" t="n">
        <f aca="false">IF($F$111=0,0,INDEX(Clean!$G$2:$G$101,MATCH(MIN($A187,$F$111),Clean!$AR$2:$AR$101,0)))</f>
        <v>147.2</v>
      </c>
      <c r="G187" s="45" t="n">
        <f aca="false">IF($F$111=0,0,INDEX(Clean!$K$2:$K$101,MATCH(MIN($A187,$F$111),Clean!$AR$2:$AR$101,0)))</f>
        <v>5</v>
      </c>
      <c r="H187" s="37"/>
      <c r="I187" s="37"/>
      <c r="J187" s="37"/>
      <c r="K187" s="37"/>
      <c r="L187" s="37"/>
    </row>
    <row r="188" customFormat="false" ht="15" hidden="false" customHeight="false" outlineLevel="0" collapsed="false">
      <c r="A188" s="37" t="n">
        <v>77</v>
      </c>
      <c r="B188" s="41" t="n">
        <f aca="false">IF($B$111=0,0,INDEX(Clean!$W$2:$W$101,MATCH(MIN($A188,$B$111),Clean!$AN$2:$AN$101,0)))</f>
        <v>2.2</v>
      </c>
      <c r="C188" s="40" t="n">
        <f aca="false">IF($B$111=0,0,INDEX(Clean!$G$2:$G$101,MATCH(MIN($A188,$B$111),Clean!$AN$2:$AN$101,0)))</f>
        <v>295</v>
      </c>
      <c r="D188" s="41" t="n">
        <f aca="false">IF($D$111=0,0,INDEX(Clean!$W$2:$W$101,MATCH(MIN($A188,$D$111),Clean!$AP$2:$AP$101,0)))</f>
        <v>1.63</v>
      </c>
      <c r="E188" s="40" t="n">
        <f aca="false">IF($D$111=0,0,INDEX(Clean!$G$2:$G$101,MATCH(MIN($A188,$D$111),Clean!$AP$2:$AP$101,0)))</f>
        <v>255.7</v>
      </c>
      <c r="F188" s="40" t="n">
        <f aca="false">IF($F$111=0,0,INDEX(Clean!$G$2:$G$101,MATCH(MIN($A188,$F$111),Clean!$AR$2:$AR$101,0)))</f>
        <v>275</v>
      </c>
      <c r="G188" s="45" t="n">
        <f aca="false">IF($F$111=0,0,INDEX(Clean!$K$2:$K$101,MATCH(MIN($A188,$F$111),Clean!$AR$2:$AR$101,0)))</f>
        <v>5</v>
      </c>
      <c r="H188" s="37"/>
      <c r="I188" s="37"/>
      <c r="J188" s="37"/>
      <c r="K188" s="37"/>
      <c r="L188" s="37"/>
    </row>
    <row r="189" customFormat="false" ht="15" hidden="false" customHeight="false" outlineLevel="0" collapsed="false">
      <c r="A189" s="37" t="n">
        <v>78</v>
      </c>
      <c r="B189" s="41" t="n">
        <f aca="false">IF($B$111=0,0,INDEX(Clean!$W$2:$W$101,MATCH(MIN($A189,$B$111),Clean!$AN$2:$AN$101,0)))</f>
        <v>2.2</v>
      </c>
      <c r="C189" s="40" t="n">
        <f aca="false">IF($B$111=0,0,INDEX(Clean!$G$2:$G$101,MATCH(MIN($A189,$B$111),Clean!$AN$2:$AN$101,0)))</f>
        <v>295</v>
      </c>
      <c r="D189" s="41" t="n">
        <f aca="false">IF($D$111=0,0,INDEX(Clean!$W$2:$W$101,MATCH(MIN($A189,$D$111),Clean!$AP$2:$AP$101,0)))</f>
        <v>1.63</v>
      </c>
      <c r="E189" s="40" t="n">
        <f aca="false">IF($D$111=0,0,INDEX(Clean!$G$2:$G$101,MATCH(MIN($A189,$D$111),Clean!$AP$2:$AP$101,0)))</f>
        <v>255.7</v>
      </c>
      <c r="F189" s="40" t="n">
        <f aca="false">IF($F$111=0,0,INDEX(Clean!$G$2:$G$101,MATCH(MIN($A189,$F$111),Clean!$AR$2:$AR$101,0)))</f>
        <v>315</v>
      </c>
      <c r="G189" s="45" t="n">
        <f aca="false">IF($F$111=0,0,INDEX(Clean!$K$2:$K$101,MATCH(MIN($A189,$F$111),Clean!$AR$2:$AR$101,0)))</f>
        <v>5</v>
      </c>
      <c r="H189" s="37"/>
      <c r="I189" s="37"/>
      <c r="J189" s="37"/>
      <c r="K189" s="37"/>
      <c r="L189" s="37"/>
    </row>
    <row r="190" customFormat="false" ht="15" hidden="false" customHeight="false" outlineLevel="0" collapsed="false">
      <c r="A190" s="37" t="n">
        <v>79</v>
      </c>
      <c r="B190" s="41" t="n">
        <f aca="false">IF($B$111=0,0,INDEX(Clean!$W$2:$W$101,MATCH(MIN($A190,$B$111),Clean!$AN$2:$AN$101,0)))</f>
        <v>2.2</v>
      </c>
      <c r="C190" s="40" t="n">
        <f aca="false">IF($B$111=0,0,INDEX(Clean!$G$2:$G$101,MATCH(MIN($A190,$B$111),Clean!$AN$2:$AN$101,0)))</f>
        <v>295</v>
      </c>
      <c r="D190" s="41" t="n">
        <f aca="false">IF($D$111=0,0,INDEX(Clean!$W$2:$W$101,MATCH(MIN($A190,$D$111),Clean!$AP$2:$AP$101,0)))</f>
        <v>1.63</v>
      </c>
      <c r="E190" s="40" t="n">
        <f aca="false">IF($D$111=0,0,INDEX(Clean!$G$2:$G$101,MATCH(MIN($A190,$D$111),Clean!$AP$2:$AP$101,0)))</f>
        <v>255.7</v>
      </c>
      <c r="F190" s="40" t="n">
        <f aca="false">IF($F$111=0,0,INDEX(Clean!$G$2:$G$101,MATCH(MIN($A190,$F$111),Clean!$AR$2:$AR$101,0)))</f>
        <v>222</v>
      </c>
      <c r="G190" s="45" t="n">
        <f aca="false">IF($F$111=0,0,INDEX(Clean!$K$2:$K$101,MATCH(MIN($A190,$F$111),Clean!$AR$2:$AR$101,0)))</f>
        <v>5</v>
      </c>
      <c r="H190" s="37"/>
      <c r="I190" s="37"/>
      <c r="J190" s="37"/>
      <c r="K190" s="37"/>
      <c r="L190" s="37"/>
    </row>
    <row r="191" customFormat="false" ht="15" hidden="false" customHeight="false" outlineLevel="0" collapsed="false">
      <c r="A191" s="37" t="n">
        <v>80</v>
      </c>
      <c r="B191" s="41" t="n">
        <f aca="false">IF($B$111=0,0,INDEX(Clean!$W$2:$W$101,MATCH(MIN($A191,$B$111),Clean!$AN$2:$AN$101,0)))</f>
        <v>2.2</v>
      </c>
      <c r="C191" s="40" t="n">
        <f aca="false">IF($B$111=0,0,INDEX(Clean!$G$2:$G$101,MATCH(MIN($A191,$B$111),Clean!$AN$2:$AN$101,0)))</f>
        <v>295</v>
      </c>
      <c r="D191" s="41" t="n">
        <f aca="false">IF($D$111=0,0,INDEX(Clean!$W$2:$W$101,MATCH(MIN($A191,$D$111),Clean!$AP$2:$AP$101,0)))</f>
        <v>1.63</v>
      </c>
      <c r="E191" s="40" t="n">
        <f aca="false">IF($D$111=0,0,INDEX(Clean!$G$2:$G$101,MATCH(MIN($A191,$D$111),Clean!$AP$2:$AP$101,0)))</f>
        <v>255.7</v>
      </c>
      <c r="F191" s="40" t="n">
        <f aca="false">IF($F$111=0,0,INDEX(Clean!$G$2:$G$101,MATCH(MIN($A191,$F$111),Clean!$AR$2:$AR$101,0)))</f>
        <v>289</v>
      </c>
      <c r="G191" s="45" t="n">
        <f aca="false">IF($F$111=0,0,INDEX(Clean!$K$2:$K$101,MATCH(MIN($A191,$F$111),Clean!$AR$2:$AR$101,0)))</f>
        <v>5</v>
      </c>
      <c r="H191" s="37"/>
      <c r="I191" s="37"/>
      <c r="J191" s="37"/>
      <c r="K191" s="37"/>
      <c r="L191" s="37"/>
    </row>
    <row r="192" customFormat="false" ht="15" hidden="false" customHeight="false" outlineLevel="0" collapsed="false">
      <c r="A192" s="37" t="n">
        <v>81</v>
      </c>
      <c r="B192" s="41" t="n">
        <f aca="false">IF($B$111=0,0,INDEX(Clean!$W$2:$W$101,MATCH(MIN($A192,$B$111),Clean!$AN$2:$AN$101,0)))</f>
        <v>2.2</v>
      </c>
      <c r="C192" s="40" t="n">
        <f aca="false">IF($B$111=0,0,INDEX(Clean!$G$2:$G$101,MATCH(MIN($A192,$B$111),Clean!$AN$2:$AN$101,0)))</f>
        <v>295</v>
      </c>
      <c r="D192" s="41" t="n">
        <f aca="false">IF($D$111=0,0,INDEX(Clean!$W$2:$W$101,MATCH(MIN($A192,$D$111),Clean!$AP$2:$AP$101,0)))</f>
        <v>1.63</v>
      </c>
      <c r="E192" s="40" t="n">
        <f aca="false">IF($D$111=0,0,INDEX(Clean!$G$2:$G$101,MATCH(MIN($A192,$D$111),Clean!$AP$2:$AP$101,0)))</f>
        <v>255.7</v>
      </c>
      <c r="F192" s="40" t="n">
        <f aca="false">IF($F$111=0,0,INDEX(Clean!$G$2:$G$101,MATCH(MIN($A192,$F$111),Clean!$AR$2:$AR$101,0)))</f>
        <v>162.2</v>
      </c>
      <c r="G192" s="45" t="n">
        <f aca="false">IF($F$111=0,0,INDEX(Clean!$K$2:$K$101,MATCH(MIN($A192,$F$111),Clean!$AR$2:$AR$101,0)))</f>
        <v>5</v>
      </c>
      <c r="H192" s="37"/>
      <c r="I192" s="37"/>
      <c r="J192" s="37"/>
      <c r="K192" s="37"/>
      <c r="L192" s="37"/>
    </row>
    <row r="193" customFormat="false" ht="15" hidden="false" customHeight="false" outlineLevel="0" collapsed="false">
      <c r="A193" s="37" t="n">
        <v>82</v>
      </c>
      <c r="B193" s="41" t="n">
        <f aca="false">IF($B$111=0,0,INDEX(Clean!$W$2:$W$101,MATCH(MIN($A193,$B$111),Clean!$AN$2:$AN$101,0)))</f>
        <v>2.2</v>
      </c>
      <c r="C193" s="40" t="n">
        <f aca="false">IF($B$111=0,0,INDEX(Clean!$G$2:$G$101,MATCH(MIN($A193,$B$111),Clean!$AN$2:$AN$101,0)))</f>
        <v>295</v>
      </c>
      <c r="D193" s="41" t="n">
        <f aca="false">IF($D$111=0,0,INDEX(Clean!$W$2:$W$101,MATCH(MIN($A193,$D$111),Clean!$AP$2:$AP$101,0)))</f>
        <v>1.63</v>
      </c>
      <c r="E193" s="40" t="n">
        <f aca="false">IF($D$111=0,0,INDEX(Clean!$G$2:$G$101,MATCH(MIN($A193,$D$111),Clean!$AP$2:$AP$101,0)))</f>
        <v>255.7</v>
      </c>
      <c r="F193" s="40" t="n">
        <f aca="false">IF($F$111=0,0,INDEX(Clean!$G$2:$G$101,MATCH(MIN($A193,$F$111),Clean!$AR$2:$AR$101,0)))</f>
        <v>215.5</v>
      </c>
      <c r="G193" s="45" t="n">
        <f aca="false">IF($F$111=0,0,INDEX(Clean!$K$2:$K$101,MATCH(MIN($A193,$F$111),Clean!$AR$2:$AR$101,0)))</f>
        <v>4</v>
      </c>
      <c r="H193" s="37"/>
      <c r="I193" s="37"/>
      <c r="J193" s="37"/>
      <c r="K193" s="37"/>
      <c r="L193" s="37"/>
    </row>
    <row r="194" customFormat="false" ht="15" hidden="false" customHeight="false" outlineLevel="0" collapsed="false">
      <c r="A194" s="37" t="n">
        <v>83</v>
      </c>
      <c r="B194" s="41" t="n">
        <f aca="false">IF($B$111=0,0,INDEX(Clean!$W$2:$W$101,MATCH(MIN($A194,$B$111),Clean!$AN$2:$AN$101,0)))</f>
        <v>2.2</v>
      </c>
      <c r="C194" s="40" t="n">
        <f aca="false">IF($B$111=0,0,INDEX(Clean!$G$2:$G$101,MATCH(MIN($A194,$B$111),Clean!$AN$2:$AN$101,0)))</f>
        <v>295</v>
      </c>
      <c r="D194" s="41" t="n">
        <f aca="false">IF($D$111=0,0,INDEX(Clean!$W$2:$W$101,MATCH(MIN($A194,$D$111),Clean!$AP$2:$AP$101,0)))</f>
        <v>1.63</v>
      </c>
      <c r="E194" s="40" t="n">
        <f aca="false">IF($D$111=0,0,INDEX(Clean!$G$2:$G$101,MATCH(MIN($A194,$D$111),Clean!$AP$2:$AP$101,0)))</f>
        <v>255.7</v>
      </c>
      <c r="F194" s="40" t="n">
        <f aca="false">IF($F$111=0,0,INDEX(Clean!$G$2:$G$101,MATCH(MIN($A194,$F$111),Clean!$AR$2:$AR$101,0)))</f>
        <v>187</v>
      </c>
      <c r="G194" s="45" t="n">
        <f aca="false">IF($F$111=0,0,INDEX(Clean!$K$2:$K$101,MATCH(MIN($A194,$F$111),Clean!$AR$2:$AR$101,0)))</f>
        <v>5</v>
      </c>
      <c r="H194" s="37"/>
      <c r="I194" s="37"/>
      <c r="J194" s="37"/>
      <c r="K194" s="37"/>
      <c r="L194" s="37"/>
    </row>
    <row r="195" customFormat="false" ht="15" hidden="false" customHeight="false" outlineLevel="0" collapsed="false">
      <c r="A195" s="37" t="n">
        <v>84</v>
      </c>
      <c r="B195" s="41" t="n">
        <f aca="false">IF($B$111=0,0,INDEX(Clean!$W$2:$W$101,MATCH(MIN($A195,$B$111),Clean!$AN$2:$AN$101,0)))</f>
        <v>2.2</v>
      </c>
      <c r="C195" s="40" t="n">
        <f aca="false">IF($B$111=0,0,INDEX(Clean!$G$2:$G$101,MATCH(MIN($A195,$B$111),Clean!$AN$2:$AN$101,0)))</f>
        <v>295</v>
      </c>
      <c r="D195" s="41" t="n">
        <f aca="false">IF($D$111=0,0,INDEX(Clean!$W$2:$W$101,MATCH(MIN($A195,$D$111),Clean!$AP$2:$AP$101,0)))</f>
        <v>1.63</v>
      </c>
      <c r="E195" s="40" t="n">
        <f aca="false">IF($D$111=0,0,INDEX(Clean!$G$2:$G$101,MATCH(MIN($A195,$D$111),Clean!$AP$2:$AP$101,0)))</f>
        <v>255.7</v>
      </c>
      <c r="F195" s="40" t="n">
        <f aca="false">IF($F$111=0,0,INDEX(Clean!$G$2:$G$101,MATCH(MIN($A195,$F$111),Clean!$AR$2:$AR$101,0)))</f>
        <v>344.6</v>
      </c>
      <c r="G195" s="45" t="n">
        <f aca="false">IF($F$111=0,0,INDEX(Clean!$K$2:$K$101,MATCH(MIN($A195,$F$111),Clean!$AR$2:$AR$101,0)))</f>
        <v>5</v>
      </c>
      <c r="H195" s="37"/>
      <c r="I195" s="37"/>
      <c r="J195" s="37"/>
      <c r="K195" s="37"/>
      <c r="L195" s="37"/>
    </row>
    <row r="196" customFormat="false" ht="15" hidden="false" customHeight="false" outlineLevel="0" collapsed="false">
      <c r="A196" s="37" t="n">
        <v>85</v>
      </c>
      <c r="B196" s="41" t="n">
        <f aca="false">IF($B$111=0,0,INDEX(Clean!$W$2:$W$101,MATCH(MIN($A196,$B$111),Clean!$AN$2:$AN$101,0)))</f>
        <v>2.2</v>
      </c>
      <c r="C196" s="40" t="n">
        <f aca="false">IF($B$111=0,0,INDEX(Clean!$G$2:$G$101,MATCH(MIN($A196,$B$111),Clean!$AN$2:$AN$101,0)))</f>
        <v>295</v>
      </c>
      <c r="D196" s="41" t="n">
        <f aca="false">IF($D$111=0,0,INDEX(Clean!$W$2:$W$101,MATCH(MIN($A196,$D$111),Clean!$AP$2:$AP$101,0)))</f>
        <v>1.63</v>
      </c>
      <c r="E196" s="40" t="n">
        <f aca="false">IF($D$111=0,0,INDEX(Clean!$G$2:$G$101,MATCH(MIN($A196,$D$111),Clean!$AP$2:$AP$101,0)))</f>
        <v>255.7</v>
      </c>
      <c r="F196" s="40" t="n">
        <f aca="false">IF($F$111=0,0,INDEX(Clean!$G$2:$G$101,MATCH(MIN($A196,$F$111),Clean!$AR$2:$AR$101,0)))</f>
        <v>223</v>
      </c>
      <c r="G196" s="45" t="n">
        <f aca="false">IF($F$111=0,0,INDEX(Clean!$K$2:$K$101,MATCH(MIN($A196,$F$111),Clean!$AR$2:$AR$101,0)))</f>
        <v>5</v>
      </c>
      <c r="H196" s="37"/>
      <c r="I196" s="37"/>
      <c r="J196" s="37"/>
      <c r="K196" s="37"/>
      <c r="L196" s="37"/>
    </row>
    <row r="197" customFormat="false" ht="15" hidden="false" customHeight="false" outlineLevel="0" collapsed="false">
      <c r="A197" s="37" t="n">
        <v>86</v>
      </c>
      <c r="B197" s="41" t="n">
        <f aca="false">IF($B$111=0,0,INDEX(Clean!$W$2:$W$101,MATCH(MIN($A197,$B$111),Clean!$AN$2:$AN$101,0)))</f>
        <v>2.2</v>
      </c>
      <c r="C197" s="40" t="n">
        <f aca="false">IF($B$111=0,0,INDEX(Clean!$G$2:$G$101,MATCH(MIN($A197,$B$111),Clean!$AN$2:$AN$101,0)))</f>
        <v>295</v>
      </c>
      <c r="D197" s="41" t="n">
        <f aca="false">IF($D$111=0,0,INDEX(Clean!$W$2:$W$101,MATCH(MIN($A197,$D$111),Clean!$AP$2:$AP$101,0)))</f>
        <v>1.63</v>
      </c>
      <c r="E197" s="40" t="n">
        <f aca="false">IF($D$111=0,0,INDEX(Clean!$G$2:$G$101,MATCH(MIN($A197,$D$111),Clean!$AP$2:$AP$101,0)))</f>
        <v>255.7</v>
      </c>
      <c r="F197" s="40" t="n">
        <f aca="false">IF($F$111=0,0,INDEX(Clean!$G$2:$G$101,MATCH(MIN($A197,$F$111),Clean!$AR$2:$AR$101,0)))</f>
        <v>333.5</v>
      </c>
      <c r="G197" s="45" t="n">
        <f aca="false">IF($F$111=0,0,INDEX(Clean!$K$2:$K$101,MATCH(MIN($A197,$F$111),Clean!$AR$2:$AR$101,0)))</f>
        <v>4.2</v>
      </c>
      <c r="H197" s="37"/>
      <c r="I197" s="37"/>
      <c r="J197" s="37"/>
      <c r="K197" s="37"/>
      <c r="L197" s="37"/>
    </row>
    <row r="198" customFormat="false" ht="15" hidden="false" customHeight="false" outlineLevel="0" collapsed="false">
      <c r="A198" s="37" t="n">
        <v>87</v>
      </c>
      <c r="B198" s="41" t="n">
        <f aca="false">IF($B$111=0,0,INDEX(Clean!$W$2:$W$101,MATCH(MIN($A198,$B$111),Clean!$AN$2:$AN$101,0)))</f>
        <v>2.2</v>
      </c>
      <c r="C198" s="40" t="n">
        <f aca="false">IF($B$111=0,0,INDEX(Clean!$G$2:$G$101,MATCH(MIN($A198,$B$111),Clean!$AN$2:$AN$101,0)))</f>
        <v>295</v>
      </c>
      <c r="D198" s="41" t="n">
        <f aca="false">IF($D$111=0,0,INDEX(Clean!$W$2:$W$101,MATCH(MIN($A198,$D$111),Clean!$AP$2:$AP$101,0)))</f>
        <v>1.63</v>
      </c>
      <c r="E198" s="40" t="n">
        <f aca="false">IF($D$111=0,0,INDEX(Clean!$G$2:$G$101,MATCH(MIN($A198,$D$111),Clean!$AP$2:$AP$101,0)))</f>
        <v>255.7</v>
      </c>
      <c r="F198" s="40" t="n">
        <f aca="false">IF($F$111=0,0,INDEX(Clean!$G$2:$G$101,MATCH(MIN($A198,$F$111),Clean!$AR$2:$AR$101,0)))</f>
        <v>204.8</v>
      </c>
      <c r="G198" s="45" t="n">
        <f aca="false">IF($F$111=0,0,INDEX(Clean!$K$2:$K$101,MATCH(MIN($A198,$F$111),Clean!$AR$2:$AR$101,0)))</f>
        <v>5</v>
      </c>
      <c r="H198" s="37"/>
      <c r="I198" s="37"/>
      <c r="J198" s="37"/>
      <c r="K198" s="37"/>
      <c r="L198" s="37"/>
    </row>
    <row r="199" customFormat="false" ht="15" hidden="false" customHeight="false" outlineLevel="0" collapsed="false">
      <c r="A199" s="37" t="n">
        <v>88</v>
      </c>
      <c r="B199" s="41" t="n">
        <f aca="false">IF($B$111=0,0,INDEX(Clean!$W$2:$W$101,MATCH(MIN($A199,$B$111),Clean!$AN$2:$AN$101,0)))</f>
        <v>2.2</v>
      </c>
      <c r="C199" s="40" t="n">
        <f aca="false">IF($B$111=0,0,INDEX(Clean!$G$2:$G$101,MATCH(MIN($A199,$B$111),Clean!$AN$2:$AN$101,0)))</f>
        <v>295</v>
      </c>
      <c r="D199" s="41" t="n">
        <f aca="false">IF($D$111=0,0,INDEX(Clean!$W$2:$W$101,MATCH(MIN($A199,$D$111),Clean!$AP$2:$AP$101,0)))</f>
        <v>1.63</v>
      </c>
      <c r="E199" s="40" t="n">
        <f aca="false">IF($D$111=0,0,INDEX(Clean!$G$2:$G$101,MATCH(MIN($A199,$D$111),Clean!$AP$2:$AP$101,0)))</f>
        <v>255.7</v>
      </c>
      <c r="F199" s="40" t="n">
        <f aca="false">IF($F$111=0,0,INDEX(Clean!$G$2:$G$101,MATCH(MIN($A199,$F$111),Clean!$AR$2:$AR$101,0)))</f>
        <v>479.5</v>
      </c>
      <c r="G199" s="45" t="n">
        <f aca="false">IF($F$111=0,0,INDEX(Clean!$K$2:$K$101,MATCH(MIN($A199,$F$111),Clean!$AR$2:$AR$101,0)))</f>
        <v>5</v>
      </c>
      <c r="H199" s="37"/>
      <c r="I199" s="37"/>
      <c r="J199" s="37"/>
      <c r="K199" s="37"/>
      <c r="L199" s="37"/>
    </row>
    <row r="200" customFormat="false" ht="15" hidden="false" customHeight="false" outlineLevel="0" collapsed="false">
      <c r="A200" s="37" t="n">
        <v>89</v>
      </c>
      <c r="B200" s="41" t="n">
        <f aca="false">IF($B$111=0,0,INDEX(Clean!$W$2:$W$101,MATCH(MIN($A200,$B$111),Clean!$AN$2:$AN$101,0)))</f>
        <v>2.2</v>
      </c>
      <c r="C200" s="40" t="n">
        <f aca="false">IF($B$111=0,0,INDEX(Clean!$G$2:$G$101,MATCH(MIN($A200,$B$111),Clean!$AN$2:$AN$101,0)))</f>
        <v>295</v>
      </c>
      <c r="D200" s="41" t="n">
        <f aca="false">IF($D$111=0,0,INDEX(Clean!$W$2:$W$101,MATCH(MIN($A200,$D$111),Clean!$AP$2:$AP$101,0)))</f>
        <v>1.63</v>
      </c>
      <c r="E200" s="40" t="n">
        <f aca="false">IF($D$111=0,0,INDEX(Clean!$G$2:$G$101,MATCH(MIN($A200,$D$111),Clean!$AP$2:$AP$101,0)))</f>
        <v>255.7</v>
      </c>
      <c r="F200" s="40" t="n">
        <f aca="false">IF($F$111=0,0,INDEX(Clean!$G$2:$G$101,MATCH(MIN($A200,$F$111),Clean!$AR$2:$AR$101,0)))</f>
        <v>440</v>
      </c>
      <c r="G200" s="45" t="n">
        <f aca="false">IF($F$111=0,0,INDEX(Clean!$K$2:$K$101,MATCH(MIN($A200,$F$111),Clean!$AR$2:$AR$101,0)))</f>
        <v>4.3</v>
      </c>
      <c r="H200" s="37"/>
      <c r="I200" s="37"/>
      <c r="J200" s="37"/>
      <c r="K200" s="37"/>
      <c r="L200" s="37"/>
    </row>
    <row r="201" customFormat="false" ht="15" hidden="false" customHeight="false" outlineLevel="0" collapsed="false">
      <c r="A201" s="37" t="n">
        <v>90</v>
      </c>
      <c r="B201" s="41" t="n">
        <f aca="false">IF($B$111=0,0,INDEX(Clean!$W$2:$W$101,MATCH(MIN($A201,$B$111),Clean!$AN$2:$AN$101,0)))</f>
        <v>2.2</v>
      </c>
      <c r="C201" s="40" t="n">
        <f aca="false">IF($B$111=0,0,INDEX(Clean!$G$2:$G$101,MATCH(MIN($A201,$B$111),Clean!$AN$2:$AN$101,0)))</f>
        <v>295</v>
      </c>
      <c r="D201" s="41" t="n">
        <f aca="false">IF($D$111=0,0,INDEX(Clean!$W$2:$W$101,MATCH(MIN($A201,$D$111),Clean!$AP$2:$AP$101,0)))</f>
        <v>1.63</v>
      </c>
      <c r="E201" s="40" t="n">
        <f aca="false">IF($D$111=0,0,INDEX(Clean!$G$2:$G$101,MATCH(MIN($A201,$D$111),Clean!$AP$2:$AP$101,0)))</f>
        <v>255.7</v>
      </c>
      <c r="F201" s="40" t="n">
        <f aca="false">IF($F$111=0,0,INDEX(Clean!$G$2:$G$101,MATCH(MIN($A201,$F$111),Clean!$AR$2:$AR$101,0)))</f>
        <v>324.2</v>
      </c>
      <c r="G201" s="45" t="n">
        <f aca="false">IF($F$111=0,0,INDEX(Clean!$K$2:$K$101,MATCH(MIN($A201,$F$111),Clean!$AR$2:$AR$101,0)))</f>
        <v>5</v>
      </c>
      <c r="H201" s="37"/>
      <c r="I201" s="37"/>
      <c r="J201" s="37"/>
      <c r="K201" s="37"/>
      <c r="L201" s="37"/>
    </row>
    <row r="202" customFormat="false" ht="15" hidden="false" customHeight="false" outlineLevel="0" collapsed="false">
      <c r="A202" s="37" t="n">
        <v>91</v>
      </c>
      <c r="B202" s="41" t="n">
        <f aca="false">IF($B$111=0,0,INDEX(Clean!$W$2:$W$101,MATCH(MIN($A202,$B$111),Clean!$AN$2:$AN$101,0)))</f>
        <v>2.2</v>
      </c>
      <c r="C202" s="40" t="n">
        <f aca="false">IF($B$111=0,0,INDEX(Clean!$G$2:$G$101,MATCH(MIN($A202,$B$111),Clean!$AN$2:$AN$101,0)))</f>
        <v>295</v>
      </c>
      <c r="D202" s="41" t="n">
        <f aca="false">IF($D$111=0,0,INDEX(Clean!$W$2:$W$101,MATCH(MIN($A202,$D$111),Clean!$AP$2:$AP$101,0)))</f>
        <v>1.63</v>
      </c>
      <c r="E202" s="40" t="n">
        <f aca="false">IF($D$111=0,0,INDEX(Clean!$G$2:$G$101,MATCH(MIN($A202,$D$111),Clean!$AP$2:$AP$101,0)))</f>
        <v>255.7</v>
      </c>
      <c r="F202" s="40" t="n">
        <f aca="false">IF($F$111=0,0,INDEX(Clean!$G$2:$G$101,MATCH(MIN($A202,$F$111),Clean!$AR$2:$AR$101,0)))</f>
        <v>272.5</v>
      </c>
      <c r="G202" s="45" t="n">
        <f aca="false">IF($F$111=0,0,INDEX(Clean!$K$2:$K$101,MATCH(MIN($A202,$F$111),Clean!$AR$2:$AR$101,0)))</f>
        <v>5</v>
      </c>
      <c r="H202" s="37"/>
      <c r="I202" s="37"/>
      <c r="J202" s="37"/>
      <c r="K202" s="37"/>
      <c r="L202" s="37"/>
    </row>
    <row r="203" customFormat="false" ht="15" hidden="false" customHeight="false" outlineLevel="0" collapsed="false">
      <c r="A203" s="37" t="n">
        <v>92</v>
      </c>
      <c r="B203" s="41" t="n">
        <f aca="false">IF($B$111=0,0,INDEX(Clean!$W$2:$W$101,MATCH(MIN($A203,$B$111),Clean!$AN$2:$AN$101,0)))</f>
        <v>2.2</v>
      </c>
      <c r="C203" s="40" t="n">
        <f aca="false">IF($B$111=0,0,INDEX(Clean!$G$2:$G$101,MATCH(MIN($A203,$B$111),Clean!$AN$2:$AN$101,0)))</f>
        <v>295</v>
      </c>
      <c r="D203" s="41" t="n">
        <f aca="false">IF($D$111=0,0,INDEX(Clean!$W$2:$W$101,MATCH(MIN($A203,$D$111),Clean!$AP$2:$AP$101,0)))</f>
        <v>1.63</v>
      </c>
      <c r="E203" s="40" t="n">
        <f aca="false">IF($D$111=0,0,INDEX(Clean!$G$2:$G$101,MATCH(MIN($A203,$D$111),Clean!$AP$2:$AP$101,0)))</f>
        <v>255.7</v>
      </c>
      <c r="F203" s="40" t="n">
        <f aca="false">IF($F$111=0,0,INDEX(Clean!$G$2:$G$101,MATCH(MIN($A203,$F$111),Clean!$AR$2:$AR$101,0)))</f>
        <v>549.5</v>
      </c>
      <c r="G203" s="45" t="n">
        <f aca="false">IF($F$111=0,0,INDEX(Clean!$K$2:$K$101,MATCH(MIN($A203,$F$111),Clean!$AR$2:$AR$101,0)))</f>
        <v>5</v>
      </c>
      <c r="H203" s="37"/>
      <c r="I203" s="37"/>
      <c r="J203" s="37"/>
      <c r="K203" s="37"/>
      <c r="L203" s="37"/>
    </row>
    <row r="204" customFormat="false" ht="15" hidden="false" customHeight="false" outlineLevel="0" collapsed="false">
      <c r="A204" s="37" t="n">
        <v>93</v>
      </c>
      <c r="B204" s="41" t="n">
        <f aca="false">IF($B$111=0,0,INDEX(Clean!$W$2:$W$101,MATCH(MIN($A204,$B$111),Clean!$AN$2:$AN$101,0)))</f>
        <v>2.2</v>
      </c>
      <c r="C204" s="40" t="n">
        <f aca="false">IF($B$111=0,0,INDEX(Clean!$G$2:$G$101,MATCH(MIN($A204,$B$111),Clean!$AN$2:$AN$101,0)))</f>
        <v>295</v>
      </c>
      <c r="D204" s="41" t="n">
        <f aca="false">IF($D$111=0,0,INDEX(Clean!$W$2:$W$101,MATCH(MIN($A204,$D$111),Clean!$AP$2:$AP$101,0)))</f>
        <v>1.63</v>
      </c>
      <c r="E204" s="40" t="n">
        <f aca="false">IF($D$111=0,0,INDEX(Clean!$G$2:$G$101,MATCH(MIN($A204,$D$111),Clean!$AP$2:$AP$101,0)))</f>
        <v>255.7</v>
      </c>
      <c r="F204" s="40" t="n">
        <f aca="false">IF($F$111=0,0,INDEX(Clean!$G$2:$G$101,MATCH(MIN($A204,$F$111),Clean!$AR$2:$AR$101,0)))</f>
        <v>479.5</v>
      </c>
      <c r="G204" s="45" t="n">
        <f aca="false">IF($F$111=0,0,INDEX(Clean!$K$2:$K$101,MATCH(MIN($A204,$F$111),Clean!$AR$2:$AR$101,0)))</f>
        <v>5</v>
      </c>
      <c r="H204" s="37"/>
      <c r="I204" s="37"/>
      <c r="J204" s="37"/>
      <c r="K204" s="37"/>
      <c r="L204" s="37"/>
    </row>
    <row r="205" customFormat="false" ht="15" hidden="false" customHeight="false" outlineLevel="0" collapsed="false">
      <c r="A205" s="37" t="n">
        <v>94</v>
      </c>
      <c r="B205" s="41" t="n">
        <f aca="false">IF($B$111=0,0,INDEX(Clean!$W$2:$W$101,MATCH(MIN($A205,$B$111),Clean!$AN$2:$AN$101,0)))</f>
        <v>2.2</v>
      </c>
      <c r="C205" s="40" t="n">
        <f aca="false">IF($B$111=0,0,INDEX(Clean!$G$2:$G$101,MATCH(MIN($A205,$B$111),Clean!$AN$2:$AN$101,0)))</f>
        <v>295</v>
      </c>
      <c r="D205" s="41" t="n">
        <f aca="false">IF($D$111=0,0,INDEX(Clean!$W$2:$W$101,MATCH(MIN($A205,$D$111),Clean!$AP$2:$AP$101,0)))</f>
        <v>1.63</v>
      </c>
      <c r="E205" s="40" t="n">
        <f aca="false">IF($D$111=0,0,INDEX(Clean!$G$2:$G$101,MATCH(MIN($A205,$D$111),Clean!$AP$2:$AP$101,0)))</f>
        <v>255.7</v>
      </c>
      <c r="F205" s="40" t="n">
        <f aca="false">IF($F$111=0,0,INDEX(Clean!$G$2:$G$101,MATCH(MIN($A205,$F$111),Clean!$AR$2:$AR$101,0)))</f>
        <v>393</v>
      </c>
      <c r="G205" s="45" t="n">
        <f aca="false">IF($F$111=0,0,INDEX(Clean!$K$2:$K$101,MATCH(MIN($A205,$F$111),Clean!$AR$2:$AR$101,0)))</f>
        <v>5</v>
      </c>
      <c r="H205" s="37"/>
      <c r="I205" s="37"/>
      <c r="J205" s="37"/>
      <c r="K205" s="37"/>
      <c r="L205" s="37"/>
    </row>
    <row r="206" customFormat="false" ht="15" hidden="false" customHeight="false" outlineLevel="0" collapsed="false">
      <c r="A206" s="37" t="n">
        <v>95</v>
      </c>
      <c r="B206" s="41" t="n">
        <f aca="false">IF($B$111=0,0,INDEX(Clean!$W$2:$W$101,MATCH(MIN($A206,$B$111),Clean!$AN$2:$AN$101,0)))</f>
        <v>2.2</v>
      </c>
      <c r="C206" s="40" t="n">
        <f aca="false">IF($B$111=0,0,INDEX(Clean!$G$2:$G$101,MATCH(MIN($A206,$B$111),Clean!$AN$2:$AN$101,0)))</f>
        <v>295</v>
      </c>
      <c r="D206" s="41" t="n">
        <f aca="false">IF($D$111=0,0,INDEX(Clean!$W$2:$W$101,MATCH(MIN($A206,$D$111),Clean!$AP$2:$AP$101,0)))</f>
        <v>1.63</v>
      </c>
      <c r="E206" s="40" t="n">
        <f aca="false">IF($D$111=0,0,INDEX(Clean!$G$2:$G$101,MATCH(MIN($A206,$D$111),Clean!$AP$2:$AP$101,0)))</f>
        <v>255.7</v>
      </c>
      <c r="F206" s="40" t="n">
        <f aca="false">IF($F$111=0,0,INDEX(Clean!$G$2:$G$101,MATCH(MIN($A206,$F$111),Clean!$AR$2:$AR$101,0)))</f>
        <v>299</v>
      </c>
      <c r="G206" s="45" t="n">
        <f aca="false">IF($F$111=0,0,INDEX(Clean!$K$2:$K$101,MATCH(MIN($A206,$F$111),Clean!$AR$2:$AR$101,0)))</f>
        <v>4.1</v>
      </c>
      <c r="H206" s="37"/>
      <c r="I206" s="37"/>
      <c r="J206" s="37"/>
      <c r="K206" s="37"/>
      <c r="L206" s="37"/>
    </row>
    <row r="207" customFormat="false" ht="15" hidden="false" customHeight="false" outlineLevel="0" collapsed="false">
      <c r="A207" s="37" t="n">
        <v>96</v>
      </c>
      <c r="B207" s="41" t="n">
        <f aca="false">IF($B$111=0,0,INDEX(Clean!$W$2:$W$101,MATCH(MIN($A207,$B$111),Clean!$AN$2:$AN$101,0)))</f>
        <v>2.2</v>
      </c>
      <c r="C207" s="40" t="n">
        <f aca="false">IF($B$111=0,0,INDEX(Clean!$G$2:$G$101,MATCH(MIN($A207,$B$111),Clean!$AN$2:$AN$101,0)))</f>
        <v>295</v>
      </c>
      <c r="D207" s="41" t="n">
        <f aca="false">IF($D$111=0,0,INDEX(Clean!$W$2:$W$101,MATCH(MIN($A207,$D$111),Clean!$AP$2:$AP$101,0)))</f>
        <v>1.63</v>
      </c>
      <c r="E207" s="40" t="n">
        <f aca="false">IF($D$111=0,0,INDEX(Clean!$G$2:$G$101,MATCH(MIN($A207,$D$111),Clean!$AP$2:$AP$101,0)))</f>
        <v>255.7</v>
      </c>
      <c r="F207" s="40" t="n">
        <f aca="false">IF($F$111=0,0,INDEX(Clean!$G$2:$G$101,MATCH(MIN($A207,$F$111),Clean!$AR$2:$AR$101,0)))</f>
        <v>165</v>
      </c>
      <c r="G207" s="45" t="n">
        <f aca="false">IF($F$111=0,0,INDEX(Clean!$K$2:$K$101,MATCH(MIN($A207,$F$111),Clean!$AR$2:$AR$101,0)))</f>
        <v>4.5</v>
      </c>
      <c r="H207" s="37"/>
      <c r="I207" s="37"/>
      <c r="J207" s="37"/>
      <c r="K207" s="37"/>
      <c r="L207" s="37"/>
    </row>
    <row r="208" customFormat="false" ht="15" hidden="false" customHeight="false" outlineLevel="0" collapsed="false">
      <c r="A208" s="37" t="n">
        <v>97</v>
      </c>
      <c r="B208" s="41" t="n">
        <f aca="false">IF($B$111=0,0,INDEX(Clean!$W$2:$W$101,MATCH(MIN($A208,$B$111),Clean!$AN$2:$AN$101,0)))</f>
        <v>2.2</v>
      </c>
      <c r="C208" s="40" t="n">
        <f aca="false">IF($B$111=0,0,INDEX(Clean!$G$2:$G$101,MATCH(MIN($A208,$B$111),Clean!$AN$2:$AN$101,0)))</f>
        <v>295</v>
      </c>
      <c r="D208" s="41" t="n">
        <f aca="false">IF($D$111=0,0,INDEX(Clean!$W$2:$W$101,MATCH(MIN($A208,$D$111),Clean!$AP$2:$AP$101,0)))</f>
        <v>1.63</v>
      </c>
      <c r="E208" s="40" t="n">
        <f aca="false">IF($D$111=0,0,INDEX(Clean!$G$2:$G$101,MATCH(MIN($A208,$D$111),Clean!$AP$2:$AP$101,0)))</f>
        <v>255.7</v>
      </c>
      <c r="F208" s="40" t="n">
        <f aca="false">IF($F$111=0,0,INDEX(Clean!$G$2:$G$101,MATCH(MIN($A208,$F$111),Clean!$AR$2:$AR$101,0)))</f>
        <v>469</v>
      </c>
      <c r="G208" s="45" t="n">
        <f aca="false">IF($F$111=0,0,INDEX(Clean!$K$2:$K$101,MATCH(MIN($A208,$F$111),Clean!$AR$2:$AR$101,0)))</f>
        <v>4.4</v>
      </c>
      <c r="H208" s="37"/>
      <c r="I208" s="37"/>
      <c r="J208" s="37"/>
      <c r="K208" s="37"/>
      <c r="L208" s="37"/>
    </row>
    <row r="209" customFormat="false" ht="15" hidden="false" customHeight="false" outlineLevel="0" collapsed="false">
      <c r="A209" s="37" t="n">
        <v>98</v>
      </c>
      <c r="B209" s="41" t="n">
        <f aca="false">IF($B$111=0,0,INDEX(Clean!$W$2:$W$101,MATCH(MIN($A209,$B$111),Clean!$AN$2:$AN$101,0)))</f>
        <v>2.2</v>
      </c>
      <c r="C209" s="40" t="n">
        <f aca="false">IF($B$111=0,0,INDEX(Clean!$G$2:$G$101,MATCH(MIN($A209,$B$111),Clean!$AN$2:$AN$101,0)))</f>
        <v>295</v>
      </c>
      <c r="D209" s="41" t="n">
        <f aca="false">IF($D$111=0,0,INDEX(Clean!$W$2:$W$101,MATCH(MIN($A209,$D$111),Clean!$AP$2:$AP$101,0)))</f>
        <v>1.63</v>
      </c>
      <c r="E209" s="40" t="n">
        <f aca="false">IF($D$111=0,0,INDEX(Clean!$G$2:$G$101,MATCH(MIN($A209,$D$111),Clean!$AP$2:$AP$101,0)))</f>
        <v>255.7</v>
      </c>
      <c r="F209" s="40" t="n">
        <f aca="false">IF($F$111=0,0,INDEX(Clean!$G$2:$G$101,MATCH(MIN($A209,$F$111),Clean!$AR$2:$AR$101,0)))</f>
        <v>295</v>
      </c>
      <c r="G209" s="45" t="n">
        <f aca="false">IF($F$111=0,0,INDEX(Clean!$K$2:$K$101,MATCH(MIN($A209,$F$111),Clean!$AR$2:$AR$101,0)))</f>
        <v>5</v>
      </c>
      <c r="H209" s="37"/>
      <c r="I209" s="37"/>
      <c r="J209" s="37"/>
      <c r="K209" s="37"/>
      <c r="L209" s="37"/>
    </row>
    <row r="210" customFormat="false" ht="15" hidden="false" customHeight="false" outlineLevel="0" collapsed="false">
      <c r="A210" s="37" t="n">
        <v>99</v>
      </c>
      <c r="B210" s="41" t="n">
        <f aca="false">IF($B$111=0,0,INDEX(Clean!$W$2:$W$101,MATCH(MIN($A210,$B$111),Clean!$AN$2:$AN$101,0)))</f>
        <v>2.2</v>
      </c>
      <c r="C210" s="40" t="n">
        <f aca="false">IF($B$111=0,0,INDEX(Clean!$G$2:$G$101,MATCH(MIN($A210,$B$111),Clean!$AN$2:$AN$101,0)))</f>
        <v>295</v>
      </c>
      <c r="D210" s="41" t="n">
        <f aca="false">IF($D$111=0,0,INDEX(Clean!$W$2:$W$101,MATCH(MIN($A210,$D$111),Clean!$AP$2:$AP$101,0)))</f>
        <v>1.63</v>
      </c>
      <c r="E210" s="40" t="n">
        <f aca="false">IF($D$111=0,0,INDEX(Clean!$G$2:$G$101,MATCH(MIN($A210,$D$111),Clean!$AP$2:$AP$101,0)))</f>
        <v>255.7</v>
      </c>
      <c r="F210" s="40" t="n">
        <f aca="false">IF($F$111=0,0,INDEX(Clean!$G$2:$G$101,MATCH(MIN($A210,$F$111),Clean!$AR$2:$AR$101,0)))</f>
        <v>255.7</v>
      </c>
      <c r="G210" s="45" t="n">
        <f aca="false">IF($F$111=0,0,INDEX(Clean!$K$2:$K$101,MATCH(MIN($A210,$F$111),Clean!$AR$2:$AR$101,0)))</f>
        <v>4.4</v>
      </c>
      <c r="H210" s="37"/>
      <c r="I210" s="37"/>
      <c r="J210" s="37"/>
      <c r="K210" s="37"/>
      <c r="L210" s="37"/>
    </row>
    <row r="211" customFormat="false" ht="15" hidden="false" customHeight="false" outlineLevel="0" collapsed="false">
      <c r="A211" s="37" t="n">
        <v>100</v>
      </c>
      <c r="B211" s="41" t="n">
        <f aca="false">IF($B$111=0,0,INDEX(Clean!$W$2:$W$101,MATCH(MIN($A211,$B$111),Clean!$AN$2:$AN$101,0)))</f>
        <v>2.2</v>
      </c>
      <c r="C211" s="40" t="n">
        <f aca="false">IF($B$111=0,0,INDEX(Clean!$G$2:$G$101,MATCH(MIN($A211,$B$111),Clean!$AN$2:$AN$101,0)))</f>
        <v>295</v>
      </c>
      <c r="D211" s="41" t="n">
        <f aca="false">IF($D$111=0,0,INDEX(Clean!$W$2:$W$101,MATCH(MIN($A211,$D$111),Clean!$AP$2:$AP$101,0)))</f>
        <v>1.63</v>
      </c>
      <c r="E211" s="40" t="n">
        <f aca="false">IF($D$111=0,0,INDEX(Clean!$G$2:$G$101,MATCH(MIN($A211,$D$111),Clean!$AP$2:$AP$101,0)))</f>
        <v>255.7</v>
      </c>
      <c r="F211" s="40" t="n">
        <f aca="false">IF($F$111=0,0,INDEX(Clean!$G$2:$G$101,MATCH(MIN($A211,$F$111),Clean!$AR$2:$AR$101,0)))</f>
        <v>255.7</v>
      </c>
      <c r="G211" s="45" t="n">
        <f aca="false">IF($F$111=0,0,INDEX(Clean!$K$2:$K$101,MATCH(MIN($A211,$F$111),Clean!$AR$2:$AR$101,0)))</f>
        <v>4.4</v>
      </c>
      <c r="H211" s="37"/>
      <c r="I211" s="37"/>
      <c r="J211" s="37"/>
      <c r="K211" s="37"/>
      <c r="L211" s="37"/>
    </row>
    <row r="212" customFormat="false" ht="15" hidden="false" customHeight="fals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</row>
    <row r="213" customFormat="false" ht="15" hidden="false" customHeight="fals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</row>
    <row r="214" customFormat="false" ht="15" hidden="false" customHeight="false" outlineLevel="0" collapsed="false">
      <c r="A214" s="36" t="s">
        <v>113</v>
      </c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</row>
    <row r="215" customFormat="false" ht="15" hidden="false" customHeight="false" outlineLevel="0" collapsed="false">
      <c r="A215" s="38" t="s">
        <v>114</v>
      </c>
      <c r="B215" s="38" t="s">
        <v>78</v>
      </c>
      <c r="C215" s="38" t="s">
        <v>79</v>
      </c>
      <c r="D215" s="38" t="s">
        <v>71</v>
      </c>
      <c r="E215" s="37"/>
      <c r="F215" s="37"/>
      <c r="G215" s="37"/>
      <c r="H215" s="37"/>
      <c r="I215" s="37"/>
      <c r="J215" s="37"/>
      <c r="K215" s="37"/>
      <c r="L215" s="37"/>
    </row>
    <row r="216" customFormat="false" ht="15" hidden="false" customHeight="false" outlineLevel="0" collapsed="false">
      <c r="A216" s="37" t="s">
        <v>115</v>
      </c>
      <c r="B216" s="37" t="n">
        <v>1</v>
      </c>
      <c r="C216" s="37" t="n">
        <v>1</v>
      </c>
      <c r="D216" s="37" t="n">
        <f aca="false">COUNTIFS(Clean!$L$2:$L$101,"&gt;="&amp;B216,Clean!$L$2:$L$101,"&lt;="&amp;C216,Clean!$AE$2:$AE$101,1)</f>
        <v>47</v>
      </c>
      <c r="E216" s="37"/>
      <c r="F216" s="37"/>
      <c r="G216" s="37"/>
      <c r="H216" s="37"/>
      <c r="I216" s="37"/>
      <c r="J216" s="37"/>
      <c r="K216" s="37"/>
      <c r="L216" s="37"/>
    </row>
    <row r="217" customFormat="false" ht="15" hidden="false" customHeight="false" outlineLevel="0" collapsed="false">
      <c r="A217" s="37" t="s">
        <v>116</v>
      </c>
      <c r="B217" s="37" t="n">
        <v>2</v>
      </c>
      <c r="C217" s="37" t="n">
        <v>5</v>
      </c>
      <c r="D217" s="37" t="n">
        <f aca="false">COUNTIFS(Clean!$L$2:$L$101,"&gt;="&amp;B217,Clean!$L$2:$L$101,"&lt;="&amp;C217,Clean!$AE$2:$AE$101,1)</f>
        <v>12</v>
      </c>
      <c r="E217" s="37"/>
      <c r="F217" s="37"/>
      <c r="G217" s="37"/>
      <c r="H217" s="37"/>
      <c r="I217" s="37"/>
      <c r="J217" s="37"/>
      <c r="K217" s="37"/>
      <c r="L217" s="37"/>
    </row>
    <row r="218" customFormat="false" ht="15" hidden="false" customHeight="false" outlineLevel="0" collapsed="false">
      <c r="A218" s="37" t="s">
        <v>117</v>
      </c>
      <c r="B218" s="37" t="n">
        <v>6</v>
      </c>
      <c r="C218" s="37" t="n">
        <v>20</v>
      </c>
      <c r="D218" s="37" t="n">
        <f aca="false">COUNTIFS(Clean!$L$2:$L$101,"&gt;="&amp;B218,Clean!$L$2:$L$101,"&lt;="&amp;C218,Clean!$AE$2:$AE$101,1)</f>
        <v>13</v>
      </c>
      <c r="E218" s="37"/>
      <c r="F218" s="37"/>
      <c r="G218" s="37"/>
      <c r="H218" s="37"/>
      <c r="I218" s="37"/>
      <c r="J218" s="37"/>
      <c r="K218" s="37"/>
      <c r="L218" s="37"/>
    </row>
    <row r="219" customFormat="false" ht="15" hidden="false" customHeight="false" outlineLevel="0" collapsed="false">
      <c r="A219" s="37" t="s">
        <v>118</v>
      </c>
      <c r="B219" s="37" t="n">
        <v>21</v>
      </c>
      <c r="C219" s="37" t="n">
        <v>50</v>
      </c>
      <c r="D219" s="37" t="n">
        <f aca="false">COUNTIFS(Clean!$L$2:$L$101,"&gt;="&amp;B219,Clean!$L$2:$L$101,"&lt;="&amp;C219,Clean!$AE$2:$AE$101,1)</f>
        <v>26</v>
      </c>
      <c r="E219" s="37"/>
      <c r="F219" s="37"/>
      <c r="G219" s="37"/>
      <c r="H219" s="37"/>
      <c r="I219" s="37"/>
      <c r="J219" s="37"/>
      <c r="K219" s="37"/>
      <c r="L219" s="37"/>
    </row>
    <row r="220" customFormat="false" ht="15" hidden="false" customHeight="false" outlineLevel="0" collapsed="false">
      <c r="A220" s="37" t="s">
        <v>119</v>
      </c>
      <c r="B220" s="37" t="n">
        <v>51</v>
      </c>
      <c r="C220" s="37" t="n">
        <v>100000</v>
      </c>
      <c r="D220" s="37" t="n">
        <f aca="false">COUNTIFS(Clean!$L$2:$L$101,"&gt;="&amp;B220,Clean!$L$2:$L$101,"&lt;="&amp;C220,Clean!$AE$2:$AE$101,1)</f>
        <v>1</v>
      </c>
      <c r="E220" s="37"/>
      <c r="F220" s="37"/>
      <c r="G220" s="37"/>
      <c r="H220" s="37"/>
      <c r="I220" s="37"/>
      <c r="J220" s="37"/>
      <c r="K220" s="37"/>
      <c r="L220" s="37"/>
    </row>
    <row r="221" customFormat="false" ht="15" hidden="false" customHeight="fals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</row>
    <row r="222" customFormat="false" ht="15" hidden="false" customHeight="fals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</row>
    <row r="223" customFormat="false" ht="15" hidden="false" customHeight="false" outlineLevel="0" collapsed="false">
      <c r="A223" s="36" t="s">
        <v>120</v>
      </c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</row>
    <row r="224" customFormat="false" ht="15" hidden="false" customHeight="false" outlineLevel="0" collapsed="false">
      <c r="A224" s="38" t="s">
        <v>75</v>
      </c>
      <c r="B224" s="38" t="s">
        <v>121</v>
      </c>
      <c r="C224" s="38" t="s">
        <v>122</v>
      </c>
      <c r="D224" s="38" t="s">
        <v>123</v>
      </c>
      <c r="E224" s="38" t="s">
        <v>70</v>
      </c>
      <c r="F224" s="38" t="s">
        <v>124</v>
      </c>
      <c r="G224" s="38" t="s">
        <v>111</v>
      </c>
      <c r="H224" s="38" t="s">
        <v>125</v>
      </c>
      <c r="I224" s="38" t="s">
        <v>126</v>
      </c>
      <c r="J224" s="37"/>
      <c r="K224" s="37"/>
      <c r="L224" s="37"/>
    </row>
    <row r="225" customFormat="false" ht="15" hidden="false" customHeight="false" outlineLevel="0" collapsed="false">
      <c r="A225" s="37" t="n">
        <v>1</v>
      </c>
      <c r="B225" s="37" t="n">
        <f aca="false">IFERROR(LARGE(Clean!$AK$2:$AK$101,A225),"")</f>
        <v>4.69117651058824</v>
      </c>
      <c r="C225" s="37" t="n">
        <f aca="false">IF(B225="","",MATCH(B225,Clean!$AK$2:$AK$101,0))</f>
        <v>39</v>
      </c>
      <c r="D225" s="37" t="str">
        <f aca="false">IF($C225="","",INDEX(Clean!$B$2:$B$101,$C225))</f>
        <v>لپ تاپ اچ پی 15.6 اینچی مدل Victus 15 FA2082WM i5 13420H 32GB 1TB RTX4050</v>
      </c>
      <c r="E225" s="37" t="str">
        <f aca="false">IF($C225="","",INDEX(Clean!$D$2:$D$101,$C225))</f>
        <v>HP</v>
      </c>
      <c r="F225" s="40" t="n">
        <f aca="false">IF($C225="","",INDEX(Clean!$G$2:$G$101,$C225))</f>
        <v>310</v>
      </c>
      <c r="G225" s="45" t="n">
        <f aca="false">IF($C225="","",INDEX(Clean!$K$2:$K$101,$C225))</f>
        <v>5</v>
      </c>
      <c r="H225" s="39" t="n">
        <f aca="false">IF($C225="","",INDEX(Clean!$L$2:$L$101,$C225))</f>
        <v>7</v>
      </c>
      <c r="I225" s="41" t="n">
        <f aca="false">IF($C225="","",INDEX(Clean!$M$2:$M$101,$C225))</f>
        <v>4.69117647058824</v>
      </c>
      <c r="J225" s="37"/>
      <c r="K225" s="37"/>
      <c r="L225" s="37"/>
    </row>
    <row r="226" customFormat="false" ht="15" hidden="false" customHeight="false" outlineLevel="0" collapsed="false">
      <c r="A226" s="37" t="n">
        <v>2</v>
      </c>
      <c r="B226" s="37" t="n">
        <f aca="false">IFERROR(LARGE(Clean!$AK$2:$AK$101,A226),"")</f>
        <v>4.625000047</v>
      </c>
      <c r="C226" s="37" t="n">
        <f aca="false">IF(B226="","",MATCH(B226,Clean!$AK$2:$AK$101,0))</f>
        <v>46</v>
      </c>
      <c r="D226" s="37" t="str">
        <f aca="false">IF($C226="","",INDEX(Clean!$B$2:$B$101,$C226))</f>
        <v>لپ تاپ ایسوس 16 اینچی مدل ROG Strix G16 G615JMR i7 14650HX 16GB 1TB RTX 5060</v>
      </c>
      <c r="E226" s="37" t="str">
        <f aca="false">IF($C226="","",INDEX(Clean!$D$2:$D$101,$C226))</f>
        <v>ASUS</v>
      </c>
      <c r="F226" s="40" t="n">
        <f aca="false">IF($C226="","",INDEX(Clean!$G$2:$G$101,$C226))</f>
        <v>504</v>
      </c>
      <c r="G226" s="45" t="n">
        <f aca="false">IF($C226="","",INDEX(Clean!$K$2:$K$101,$C226))</f>
        <v>5</v>
      </c>
      <c r="H226" s="39" t="n">
        <f aca="false">IF($C226="","",INDEX(Clean!$L$2:$L$101,$C226))</f>
        <v>4</v>
      </c>
      <c r="I226" s="41" t="n">
        <f aca="false">IF($C226="","",INDEX(Clean!$M$2:$M$101,$C226))</f>
        <v>4.625</v>
      </c>
      <c r="J226" s="37"/>
      <c r="K226" s="37"/>
      <c r="L226" s="37"/>
    </row>
    <row r="227" customFormat="false" ht="15" hidden="false" customHeight="false" outlineLevel="0" collapsed="false">
      <c r="A227" s="37" t="n">
        <v>3</v>
      </c>
      <c r="B227" s="37" t="n">
        <f aca="false">IFERROR(LARGE(Clean!$AK$2:$AK$101,A227),"")</f>
        <v>4.60217393004348</v>
      </c>
      <c r="C227" s="37" t="n">
        <f aca="false">IF(B227="","",MATCH(B227,Clean!$AK$2:$AK$101,0))</f>
        <v>16</v>
      </c>
      <c r="D227" s="37" t="str">
        <f aca="false">IF($C227="","",INDEX(Clean!$B$2:$B$101,$C227))</f>
        <v>لپ تاپ 13 اینچی اپل مدل MacBook Neo A18 Pro 2026 8GB 256GB</v>
      </c>
      <c r="E227" s="37" t="str">
        <f aca="false">IF($C227="","",INDEX(Clean!$D$2:$D$101,$C227))</f>
        <v>Apple</v>
      </c>
      <c r="F227" s="40" t="n">
        <f aca="false">IF($C227="","",INDEX(Clean!$G$2:$G$101,$C227))</f>
        <v>217.47</v>
      </c>
      <c r="G227" s="45" t="n">
        <f aca="false">IF($C227="","",INDEX(Clean!$K$2:$K$101,$C227))</f>
        <v>4.7</v>
      </c>
      <c r="H227" s="39" t="n">
        <f aca="false">IF($C227="","",INDEX(Clean!$L$2:$L$101,$C227))</f>
        <v>13</v>
      </c>
      <c r="I227" s="41" t="n">
        <f aca="false">IF($C227="","",INDEX(Clean!$M$2:$M$101,$C227))</f>
        <v>4.60217391304348</v>
      </c>
      <c r="J227" s="37"/>
      <c r="K227" s="37"/>
      <c r="L227" s="37"/>
    </row>
    <row r="228" customFormat="false" ht="15" hidden="false" customHeight="false" outlineLevel="0" collapsed="false">
      <c r="A228" s="37" t="n">
        <v>4</v>
      </c>
      <c r="B228" s="37" t="n">
        <f aca="false">IFERROR(LARGE(Clean!$AK$2:$AK$101,A228),"")</f>
        <v>4.568750054</v>
      </c>
      <c r="C228" s="37" t="n">
        <f aca="false">IF(B228="","",MATCH(B228,Clean!$AK$2:$AK$101,0))</f>
        <v>53</v>
      </c>
      <c r="D228" s="37" t="str">
        <f aca="false">IF($C228="","",INDEX(Clean!$B$2:$B$101,$C228))</f>
        <v>لپ تاپ ایسوس 15.6 اینچی مدل Vivobook 15 X1504VA i7 1355U 16GB 1TB</v>
      </c>
      <c r="E228" s="37" t="str">
        <f aca="false">IF($C228="","",INDEX(Clean!$D$2:$D$101,$C228))</f>
        <v>ASUS</v>
      </c>
      <c r="F228" s="40" t="n">
        <f aca="false">IF($C228="","",INDEX(Clean!$G$2:$G$101,$C228))</f>
        <v>210.3</v>
      </c>
      <c r="G228" s="45" t="n">
        <f aca="false">IF($C228="","",INDEX(Clean!$K$2:$K$101,$C228))</f>
        <v>4.6</v>
      </c>
      <c r="H228" s="39" t="n">
        <f aca="false">IF($C228="","",INDEX(Clean!$L$2:$L$101,$C228))</f>
        <v>30</v>
      </c>
      <c r="I228" s="41" t="n">
        <f aca="false">IF($C228="","",INDEX(Clean!$M$2:$M$101,$C228))</f>
        <v>4.56875</v>
      </c>
      <c r="J228" s="37"/>
      <c r="K228" s="37"/>
      <c r="L228" s="37"/>
    </row>
    <row r="229" customFormat="false" ht="15" hidden="false" customHeight="false" outlineLevel="0" collapsed="false">
      <c r="A229" s="37" t="n">
        <v>5</v>
      </c>
      <c r="B229" s="37" t="n">
        <f aca="false">IFERROR(LARGE(Clean!$AK$2:$AK$101,A229),"")</f>
        <v>4.562500062</v>
      </c>
      <c r="C229" s="37" t="n">
        <f aca="false">IF(B229="","",MATCH(B229,Clean!$AK$2:$AK$101,0))</f>
        <v>61</v>
      </c>
      <c r="D229" s="37" t="str">
        <f aca="false">IF($C229="","",INDEX(Clean!$B$2:$B$101,$C229))</f>
        <v>لپ تاپ اچ پی 15.6 اینچی مدل Victus 15 FA2082WM i5 13420H 32GB 512GB RTX4050</v>
      </c>
      <c r="E229" s="37" t="str">
        <f aca="false">IF($C229="","",INDEX(Clean!$D$2:$D$101,$C229))</f>
        <v>HP</v>
      </c>
      <c r="F229" s="40" t="n">
        <f aca="false">IF($C229="","",INDEX(Clean!$G$2:$G$101,$C229))</f>
        <v>314</v>
      </c>
      <c r="G229" s="45" t="n">
        <f aca="false">IF($C229="","",INDEX(Clean!$K$2:$K$101,$C229))</f>
        <v>5</v>
      </c>
      <c r="H229" s="39" t="n">
        <f aca="false">IF($C229="","",INDEX(Clean!$L$2:$L$101,$C229))</f>
        <v>2</v>
      </c>
      <c r="I229" s="41" t="n">
        <f aca="false">IF($C229="","",INDEX(Clean!$M$2:$M$101,$C229))</f>
        <v>4.5625</v>
      </c>
      <c r="J229" s="37"/>
      <c r="K229" s="37"/>
      <c r="L229" s="37"/>
    </row>
    <row r="230" customFormat="false" ht="15" hidden="false" customHeight="false" outlineLevel="0" collapsed="false">
      <c r="A230" s="37" t="n">
        <v>6</v>
      </c>
      <c r="B230" s="37" t="n">
        <f aca="false">IFERROR(LARGE(Clean!$AK$2:$AK$101,A230),"")</f>
        <v>4.562500046</v>
      </c>
      <c r="C230" s="37" t="n">
        <f aca="false">IF(B230="","",MATCH(B230,Clean!$AK$2:$AK$101,0))</f>
        <v>45</v>
      </c>
      <c r="D230" s="37" t="str">
        <f aca="false">IF($C230="","",INDEX(Clean!$B$2:$B$101,$C230))</f>
        <v>لپ تاپ لنوو 15.3 اینچی مدل IdeaPad Slim 3 i5 13420H 8GB 512GB WUXGA Backlit</v>
      </c>
      <c r="E230" s="37" t="str">
        <f aca="false">IF($C230="","",INDEX(Clean!$D$2:$D$101,$C230))</f>
        <v>Lenovo</v>
      </c>
      <c r="F230" s="40" t="n">
        <f aca="false">IF($C230="","",INDEX(Clean!$G$2:$G$101,$C230))</f>
        <v>160</v>
      </c>
      <c r="G230" s="45" t="n">
        <f aca="false">IF($C230="","",INDEX(Clean!$K$2:$K$101,$C230))</f>
        <v>5</v>
      </c>
      <c r="H230" s="39" t="n">
        <f aca="false">IF($C230="","",INDEX(Clean!$L$2:$L$101,$C230))</f>
        <v>2</v>
      </c>
      <c r="I230" s="41" t="n">
        <f aca="false">IF($C230="","",INDEX(Clean!$M$2:$M$101,$C230))</f>
        <v>4.5625</v>
      </c>
      <c r="J230" s="37"/>
      <c r="K230" s="37"/>
      <c r="L230" s="37"/>
    </row>
    <row r="231" customFormat="false" ht="15" hidden="false" customHeight="false" outlineLevel="0" collapsed="false">
      <c r="A231" s="37" t="n">
        <v>7</v>
      </c>
      <c r="B231" s="37" t="n">
        <f aca="false">IFERROR(LARGE(Clean!$AK$2:$AK$101,A231),"")</f>
        <v>4.562500003</v>
      </c>
      <c r="C231" s="37" t="n">
        <f aca="false">IF(B231="","",MATCH(B231,Clean!$AK$2:$AK$101,0))</f>
        <v>2</v>
      </c>
      <c r="D231" s="37" t="str">
        <f aca="false">IF($C231="","",INDEX(Clean!$B$2:$B$101,$C231))</f>
        <v>لپ تاپ ام اس آی 15.6 اینچی مدل Cyborg 15 A13UC i7 13620H 16GB 1TB RTX 3050</v>
      </c>
      <c r="E231" s="37" t="str">
        <f aca="false">IF($C231="","",INDEX(Clean!$D$2:$D$101,$C231))</f>
        <v>MSI</v>
      </c>
      <c r="F231" s="40" t="n">
        <f aca="false">IF($C231="","",INDEX(Clean!$G$2:$G$101,$C231))</f>
        <v>272</v>
      </c>
      <c r="G231" s="45" t="n">
        <f aca="false">IF($C231="","",INDEX(Clean!$K$2:$K$101,$C231))</f>
        <v>5</v>
      </c>
      <c r="H231" s="39" t="n">
        <f aca="false">IF($C231="","",INDEX(Clean!$L$2:$L$101,$C231))</f>
        <v>2</v>
      </c>
      <c r="I231" s="41" t="n">
        <f aca="false">IF($C231="","",INDEX(Clean!$M$2:$M$101,$C231))</f>
        <v>4.5625</v>
      </c>
      <c r="J231" s="37"/>
      <c r="K231" s="37"/>
      <c r="L231" s="37"/>
    </row>
    <row r="232" customFormat="false" ht="15" hidden="false" customHeight="false" outlineLevel="0" collapsed="false">
      <c r="A232" s="37" t="n">
        <v>8</v>
      </c>
      <c r="B232" s="37" t="n">
        <f aca="false">IFERROR(LARGE(Clean!$AK$2:$AK$101,A232),"")</f>
        <v>4.560937565</v>
      </c>
      <c r="C232" s="37" t="n">
        <f aca="false">IF(B232="","",MATCH(B232,Clean!$AK$2:$AK$101,0))</f>
        <v>64</v>
      </c>
      <c r="D232" s="37" t="str">
        <f aca="false">IF($C232="","",INDEX(Clean!$B$2:$B$101,$C232))</f>
        <v>لپ تاپ 16 اینچی ایسوس مدل TUF Gaming FX607VU CORE 5 210H 16GB 512GB RTX 4050</v>
      </c>
      <c r="E232" s="37" t="str">
        <f aca="false">IF($C232="","",INDEX(Clean!$D$2:$D$101,$C232))</f>
        <v>ASUS</v>
      </c>
      <c r="F232" s="40" t="n">
        <f aca="false">IF($C232="","",INDEX(Clean!$G$2:$G$101,$C232))</f>
        <v>312</v>
      </c>
      <c r="G232" s="45" t="n">
        <f aca="false">IF($C232="","",INDEX(Clean!$K$2:$K$101,$C232))</f>
        <v>4.6</v>
      </c>
      <c r="H232" s="39" t="n">
        <f aca="false">IF($C232="","",INDEX(Clean!$L$2:$L$101,$C232))</f>
        <v>22</v>
      </c>
      <c r="I232" s="41" t="n">
        <f aca="false">IF($C232="","",INDEX(Clean!$M$2:$M$101,$C232))</f>
        <v>4.5609375</v>
      </c>
      <c r="J232" s="37"/>
      <c r="K232" s="37"/>
      <c r="L232" s="37"/>
    </row>
    <row r="233" customFormat="false" ht="15" hidden="false" customHeight="false" outlineLevel="0" collapsed="false">
      <c r="A233" s="37" t="n">
        <v>9</v>
      </c>
      <c r="B233" s="37" t="n">
        <f aca="false">IFERROR(LARGE(Clean!$AK$2:$AK$101,A233),"")</f>
        <v>4.559375009</v>
      </c>
      <c r="C233" s="37" t="n">
        <f aca="false">IF(B233="","",MATCH(B233,Clean!$AK$2:$AK$101,0))</f>
        <v>8</v>
      </c>
      <c r="D233" s="37" t="str">
        <f aca="false">IF($C233="","",INDEX(Clean!$B$2:$B$101,$C233))</f>
        <v>لپ تاپ 15.6 اینچی لنوو مدل IdeaPad 1 15IJL7 Celeron N4500 8GB 256GB</v>
      </c>
      <c r="E233" s="37" t="str">
        <f aca="false">IF($C233="","",INDEX(Clean!$D$2:$D$101,$C233))</f>
        <v>Lenovo</v>
      </c>
      <c r="F233" s="40" t="n">
        <f aca="false">IF($C233="","",INDEX(Clean!$G$2:$G$101,$C233))</f>
        <v>94.5</v>
      </c>
      <c r="G233" s="45" t="n">
        <f aca="false">IF($C233="","",INDEX(Clean!$K$2:$K$101,$C233))</f>
        <v>4.7</v>
      </c>
      <c r="H233" s="39" t="n">
        <f aca="false">IF($C233="","",INDEX(Clean!$L$2:$L$101,$C233))</f>
        <v>6</v>
      </c>
      <c r="I233" s="41" t="n">
        <f aca="false">IF($C233="","",INDEX(Clean!$M$2:$M$101,$C233))</f>
        <v>4.559375</v>
      </c>
      <c r="J233" s="37"/>
      <c r="K233" s="37"/>
      <c r="L233" s="37"/>
    </row>
    <row r="234" customFormat="false" ht="15" hidden="false" customHeight="false" outlineLevel="0" collapsed="false">
      <c r="A234" s="37" t="n">
        <v>10</v>
      </c>
      <c r="B234" s="37" t="n">
        <f aca="false">IFERROR(LARGE(Clean!$AK$2:$AK$101,A234),"")</f>
        <v>4.53421056931579</v>
      </c>
      <c r="C234" s="37" t="n">
        <f aca="false">IF(B234="","",MATCH(B234,Clean!$AK$2:$AK$101,0))</f>
        <v>42</v>
      </c>
      <c r="D234" s="37" t="str">
        <f aca="false">IF($C234="","",INDEX(Clean!$B$2:$B$101,$C234))</f>
        <v>لپ تاپ ایسوس 16 اینچی مدل TUF Gaming F16 FX608JMR i7 14650HX 32GB 1TB RTX 5060</v>
      </c>
      <c r="E234" s="37" t="str">
        <f aca="false">IF($C234="","",INDEX(Clean!$D$2:$D$101,$C234))</f>
        <v>ASUS</v>
      </c>
      <c r="F234" s="40" t="n">
        <f aca="false">IF($C234="","",INDEX(Clean!$G$2:$G$101,$C234))</f>
        <v>495.5</v>
      </c>
      <c r="G234" s="45" t="n">
        <f aca="false">IF($C234="","",INDEX(Clean!$K$2:$K$101,$C234))</f>
        <v>4.6</v>
      </c>
      <c r="H234" s="39" t="n">
        <f aca="false">IF($C234="","",INDEX(Clean!$L$2:$L$101,$C234))</f>
        <v>9</v>
      </c>
      <c r="I234" s="41" t="n">
        <f aca="false">IF($C234="","",INDEX(Clean!$M$2:$M$101,$C234))</f>
        <v>4.53421052631579</v>
      </c>
      <c r="J234" s="37"/>
      <c r="K234" s="37"/>
      <c r="L234" s="37"/>
    </row>
    <row r="235" customFormat="false" ht="15" hidden="false" customHeight="false" outlineLevel="0" collapsed="false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</row>
    <row r="236" customFormat="false" ht="15" hidden="false" customHeight="false" outlineLevel="0" collapsed="false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</row>
    <row r="237" customFormat="false" ht="15" hidden="false" customHeight="false" outlineLevel="0" collapsed="false">
      <c r="A237" s="36" t="s">
        <v>127</v>
      </c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</row>
    <row r="238" customFormat="false" ht="15" hidden="false" customHeight="false" outlineLevel="0" collapsed="false">
      <c r="A238" s="38" t="s">
        <v>75</v>
      </c>
      <c r="B238" s="38" t="s">
        <v>121</v>
      </c>
      <c r="C238" s="38" t="s">
        <v>122</v>
      </c>
      <c r="D238" s="38" t="s">
        <v>123</v>
      </c>
      <c r="E238" s="38" t="s">
        <v>70</v>
      </c>
      <c r="F238" s="38" t="s">
        <v>124</v>
      </c>
      <c r="G238" s="38" t="s">
        <v>128</v>
      </c>
      <c r="H238" s="38" t="s">
        <v>129</v>
      </c>
      <c r="I238" s="37"/>
      <c r="J238" s="37"/>
      <c r="K238" s="37"/>
      <c r="L238" s="37"/>
    </row>
    <row r="239" customFormat="false" ht="15" hidden="false" customHeight="false" outlineLevel="0" collapsed="false">
      <c r="A239" s="37" t="n">
        <v>1</v>
      </c>
      <c r="B239" s="37" t="n">
        <f aca="false">IFERROR(LARGE(Clean!$AL$2:$AL$101,A239),"")</f>
        <v>0.112179561179487</v>
      </c>
      <c r="C239" s="37" t="n">
        <f aca="false">IF(B239="","",MATCH(B239,Clean!$AL$2:$AL$101,0))</f>
        <v>73</v>
      </c>
      <c r="D239" s="37" t="str">
        <f aca="false">IF($C239="","",INDEX(Clean!$B$2:$B$101,$C239))</f>
        <v>لپ تاپ ایسوس 16 اینچی مدل TUF Gaming F16 FX607VJB Core 5 210H 16GB 512GB RTX 3050</v>
      </c>
      <c r="E239" s="37" t="str">
        <f aca="false">IF($C239="","",INDEX(Clean!$D$2:$D$101,$C239))</f>
        <v>ASUS</v>
      </c>
      <c r="F239" s="40" t="n">
        <f aca="false">IF($C239="","",INDEX(Clean!$G$2:$G$101,$C239))</f>
        <v>277</v>
      </c>
      <c r="G239" s="40" t="n">
        <f aca="false">IF($C239="","",INDEX(Clean!$H$2:$H$101,$C239)/1000000)</f>
        <v>312</v>
      </c>
      <c r="H239" s="42" t="n">
        <f aca="false">IF($C239="","",INDEX(Clean!$I$2:$I$101,$C239))</f>
        <v>0.112179487179487</v>
      </c>
      <c r="I239" s="37"/>
      <c r="J239" s="37"/>
      <c r="K239" s="37"/>
      <c r="L239" s="37"/>
    </row>
    <row r="240" customFormat="false" ht="15" hidden="false" customHeight="false" outlineLevel="0" collapsed="false">
      <c r="A240" s="37" t="n">
        <v>2</v>
      </c>
      <c r="B240" s="37" t="n">
        <f aca="false">IFERROR(LARGE(Clean!$AL$2:$AL$101,A240),"")</f>
        <v>0.080000097</v>
      </c>
      <c r="C240" s="37" t="n">
        <f aca="false">IF(B240="","",MATCH(B240,Clean!$AL$2:$AL$101,0))</f>
        <v>96</v>
      </c>
      <c r="D240" s="37" t="str">
        <f aca="false">IF($C240="","",INDEX(Clean!$B$2:$B$101,$C240))</f>
        <v>لپ تاپ 15.6 اینچی اچ پی مدل Victus 15 FB3093DX R7 7445HS 16GB 512GB RTX 4050</v>
      </c>
      <c r="E240" s="37" t="str">
        <f aca="false">IF($C240="","",INDEX(Clean!$D$2:$D$101,$C240))</f>
        <v>HP</v>
      </c>
      <c r="F240" s="40" t="n">
        <f aca="false">IF($C240="","",INDEX(Clean!$G$2:$G$101,$C240))</f>
        <v>299</v>
      </c>
      <c r="G240" s="40" t="n">
        <f aca="false">IF($C240="","",INDEX(Clean!$H$2:$H$101,$C240)/1000000)</f>
        <v>325</v>
      </c>
      <c r="H240" s="42" t="n">
        <f aca="false">IF($C240="","",INDEX(Clean!$I$2:$I$101,$C240))</f>
        <v>0.08</v>
      </c>
      <c r="I240" s="37"/>
      <c r="J240" s="37"/>
      <c r="K240" s="37"/>
      <c r="L240" s="37"/>
    </row>
    <row r="241" customFormat="false" ht="15" hidden="false" customHeight="false" outlineLevel="0" collapsed="false">
      <c r="A241" s="37" t="n">
        <v>3</v>
      </c>
      <c r="B241" s="37" t="n">
        <f aca="false">IFERROR(LARGE(Clean!$AL$2:$AL$101,A241),"")</f>
        <v>0.0458333543333333</v>
      </c>
      <c r="C241" s="37" t="n">
        <f aca="false">IF(B241="","",MATCH(B241,Clean!$AL$2:$AL$101,0))</f>
        <v>20</v>
      </c>
      <c r="D241" s="37" t="str">
        <f aca="false">IF($C241="","",INDEX(Clean!$B$2:$B$101,$C241))</f>
        <v>لپ تاپ 15.6 اینچی اچ پی مدل Victus 15 FA2013DX i5 13420H 8GB 512GB RTX 3050</v>
      </c>
      <c r="E241" s="37" t="str">
        <f aca="false">IF($C241="","",INDEX(Clean!$D$2:$D$101,$C241))</f>
        <v>HP</v>
      </c>
      <c r="F241" s="40" t="n">
        <f aca="false">IF($C241="","",INDEX(Clean!$G$2:$G$101,$C241))</f>
        <v>229</v>
      </c>
      <c r="G241" s="40" t="n">
        <f aca="false">IF($C241="","",INDEX(Clean!$H$2:$H$101,$C241)/1000000)</f>
        <v>240</v>
      </c>
      <c r="H241" s="42" t="n">
        <f aca="false">IF($C241="","",INDEX(Clean!$I$2:$I$101,$C241))</f>
        <v>0.0458333333333333</v>
      </c>
      <c r="I241" s="37"/>
      <c r="J241" s="37"/>
      <c r="K241" s="37"/>
      <c r="L241" s="37"/>
    </row>
    <row r="242" customFormat="false" ht="15" hidden="false" customHeight="false" outlineLevel="0" collapsed="false">
      <c r="A242" s="37" t="n">
        <v>4</v>
      </c>
      <c r="B242" s="37" t="n">
        <f aca="false">IFERROR(LARGE(Clean!$AL$2:$AL$101,A242),"")</f>
        <v>0.0366667486666667</v>
      </c>
      <c r="C242" s="37" t="n">
        <f aca="false">IF(B242="","",MATCH(B242,Clean!$AL$2:$AL$101,0))</f>
        <v>81</v>
      </c>
      <c r="D242" s="37" t="str">
        <f aca="false">IF($C242="","",INDEX(Clean!$B$2:$B$101,$C242))</f>
        <v>لپ تاپ ام اس آی مدل VenturePro 15 A2RWEG Core 7 240H 16GB 1TB RTX 5050</v>
      </c>
      <c r="E242" s="37" t="str">
        <f aca="false">IF($C242="","",INDEX(Clean!$D$2:$D$101,$C242))</f>
        <v>MSI</v>
      </c>
      <c r="F242" s="40" t="n">
        <f aca="false">IF($C242="","",INDEX(Clean!$G$2:$G$101,$C242))</f>
        <v>289</v>
      </c>
      <c r="G242" s="40" t="n">
        <f aca="false">IF($C242="","",INDEX(Clean!$H$2:$H$101,$C242)/1000000)</f>
        <v>300</v>
      </c>
      <c r="H242" s="42" t="n">
        <f aca="false">IF($C242="","",INDEX(Clean!$I$2:$I$101,$C242))</f>
        <v>0.0366666666666667</v>
      </c>
      <c r="I242" s="37"/>
      <c r="J242" s="37"/>
      <c r="K242" s="37"/>
      <c r="L242" s="37"/>
    </row>
    <row r="243" customFormat="false" ht="15" hidden="false" customHeight="false" outlineLevel="0" collapsed="false">
      <c r="A243" s="37" t="n">
        <v>5</v>
      </c>
      <c r="B243" s="37" t="n">
        <f aca="false">IFERROR(LARGE(Clean!$AL$2:$AL$101,A243),"")</f>
        <v>0.0350877252982456</v>
      </c>
      <c r="C243" s="37" t="n">
        <f aca="false">IF(B243="","",MATCH(B243,Clean!$AL$2:$AL$101,0))</f>
        <v>5</v>
      </c>
      <c r="D243" s="37" t="str">
        <f aca="false">IF($C243="","",INDEX(Clean!$B$2:$B$101,$C243))</f>
        <v>لپ تاپ اچ پی 15.6 اینچی مدل Victus 15 FA2082WM i5 13420H 16GB 512GB RTX4050</v>
      </c>
      <c r="E243" s="37" t="str">
        <f aca="false">IF($C243="","",INDEX(Clean!$D$2:$D$101,$C243))</f>
        <v>HP</v>
      </c>
      <c r="F243" s="40" t="n">
        <f aca="false">IF($C243="","",INDEX(Clean!$G$2:$G$101,$C243))</f>
        <v>275</v>
      </c>
      <c r="G243" s="40" t="n">
        <f aca="false">IF($C243="","",INDEX(Clean!$H$2:$H$101,$C243)/1000000)</f>
        <v>285</v>
      </c>
      <c r="H243" s="42" t="n">
        <f aca="false">IF($C243="","",INDEX(Clean!$I$2:$I$101,$C243))</f>
        <v>0.0350877192982456</v>
      </c>
      <c r="I243" s="37"/>
      <c r="J243" s="37"/>
      <c r="K243" s="37"/>
      <c r="L243" s="37"/>
    </row>
    <row r="244" customFormat="false" ht="15" hidden="false" customHeight="false" outlineLevel="0" collapsed="false">
      <c r="A244" s="37" t="n">
        <v>6</v>
      </c>
      <c r="B244" s="37" t="n">
        <f aca="false">IFERROR(LARGE(Clean!$AL$2:$AL$101,A244),"")</f>
        <v>0.0227272917272727</v>
      </c>
      <c r="C244" s="37" t="n">
        <f aca="false">IF(B244="","",MATCH(B244,Clean!$AL$2:$AL$101,0))</f>
        <v>18</v>
      </c>
      <c r="D244" s="37" t="str">
        <f aca="false">IF($C244="","",INDEX(Clean!$B$2:$B$101,$C244))</f>
        <v>لپ تاپ اچ پی 16 اینچی مدل OmniBook 5 Next Gen AI 16 ag1070wm Ryzen AI 7 350 16GB 512GB</v>
      </c>
      <c r="E244" s="37" t="str">
        <f aca="false">IF($C244="","",INDEX(Clean!$D$2:$D$101,$C244))</f>
        <v>HP</v>
      </c>
      <c r="F244" s="40" t="n">
        <f aca="false">IF($C244="","",INDEX(Clean!$G$2:$G$101,$C244))</f>
        <v>215</v>
      </c>
      <c r="G244" s="40" t="n">
        <f aca="false">IF($C244="","",INDEX(Clean!$H$2:$H$101,$C244)/1000000)</f>
        <v>220</v>
      </c>
      <c r="H244" s="42" t="n">
        <f aca="false">IF($C244="","",INDEX(Clean!$I$2:$I$101,$C244))</f>
        <v>0.0227272727272727</v>
      </c>
      <c r="I244" s="37"/>
      <c r="J244" s="37"/>
      <c r="K244" s="37"/>
      <c r="L244" s="37"/>
    </row>
    <row r="245" customFormat="false" ht="15" hidden="false" customHeight="false" outlineLevel="0" collapsed="false">
      <c r="A245" s="37" t="n">
        <v>7</v>
      </c>
      <c r="B245" s="37" t="n">
        <f aca="false">IFERROR(LARGE(Clean!$AL$2:$AL$101,A245),"")</f>
        <v>0.016675014</v>
      </c>
      <c r="C245" s="37" t="n">
        <f aca="false">IF(B245="","",MATCH(B245,Clean!$AL$2:$AL$101,0))</f>
        <v>13</v>
      </c>
      <c r="D245" s="37" t="str">
        <f aca="false">IF($C245="","",INDEX(Clean!$B$2:$B$101,$C245))</f>
        <v>لپ تاپ لنوو 15.6 اینچی مدل IdeaPad Slim 3 i3 1315U 8GB 256GB</v>
      </c>
      <c r="E245" s="37" t="str">
        <f aca="false">IF($C245="","",INDEX(Clean!$D$2:$D$101,$C245))</f>
        <v>Lenovo</v>
      </c>
      <c r="F245" s="40" t="n">
        <f aca="false">IF($C245="","",INDEX(Clean!$G$2:$G$101,$C245))</f>
        <v>117.999</v>
      </c>
      <c r="G245" s="40" t="n">
        <f aca="false">IF($C245="","",INDEX(Clean!$H$2:$H$101,$C245)/1000000)</f>
        <v>120</v>
      </c>
      <c r="H245" s="42" t="n">
        <f aca="false">IF($C245="","",INDEX(Clean!$I$2:$I$101,$C245))</f>
        <v>0.016675</v>
      </c>
      <c r="I245" s="37"/>
      <c r="J245" s="37"/>
      <c r="K245" s="37"/>
      <c r="L245" s="37"/>
    </row>
    <row r="246" customFormat="false" ht="15" hidden="false" customHeight="false" outlineLevel="0" collapsed="false">
      <c r="A246" s="37" t="n">
        <v>8</v>
      </c>
      <c r="B246" s="37" t="n">
        <f aca="false">IFERROR(LARGE(Clean!$AL$2:$AL$101,A246),"")</f>
        <v>0.00397619247619048</v>
      </c>
      <c r="C246" s="37" t="n">
        <f aca="false">IF(B246="","",MATCH(B246,Clean!$AL$2:$AL$101,0))</f>
        <v>1</v>
      </c>
      <c r="D246" s="37" t="str">
        <f aca="false">IF($C246="","",INDEX(Clean!$B$2:$B$101,$C246))</f>
        <v>لپ تاپ لنوو 15.6 اینچی مدل IdeaPad Slim 3 i3 1315U 8GB 512GB</v>
      </c>
      <c r="E246" s="37" t="str">
        <f aca="false">IF($C246="","",INDEX(Clean!$D$2:$D$101,$C246))</f>
        <v>Lenovo</v>
      </c>
      <c r="F246" s="40" t="n">
        <f aca="false">IF($C246="","",INDEX(Clean!$G$2:$G$101,$C246))</f>
        <v>125.499</v>
      </c>
      <c r="G246" s="40" t="n">
        <f aca="false">IF($C246="","",INDEX(Clean!$H$2:$H$101,$C246)/1000000)</f>
        <v>126</v>
      </c>
      <c r="H246" s="42" t="n">
        <f aca="false">IF($C246="","",INDEX(Clean!$I$2:$I$101,$C246))</f>
        <v>0.00397619047619048</v>
      </c>
      <c r="I246" s="37"/>
      <c r="J246" s="37"/>
      <c r="K246" s="37"/>
      <c r="L246" s="37"/>
    </row>
    <row r="247" customFormat="false" ht="15" hidden="false" customHeight="false" outlineLevel="0" collapsed="false">
      <c r="A247" s="37" t="n">
        <v>9</v>
      </c>
      <c r="B247" s="37" t="str">
        <f aca="false">IFERROR(LARGE(Clean!$AL$2:$AL$101,A247),"")</f>
        <v/>
      </c>
      <c r="C247" s="37" t="str">
        <f aca="false">IF(B247="","",MATCH(B247,Clean!$AL$2:$AL$101,0))</f>
        <v/>
      </c>
      <c r="D247" s="37" t="str">
        <f aca="false">IF($C247="","",INDEX(Clean!$B$2:$B$101,$C247))</f>
        <v/>
      </c>
      <c r="E247" s="37" t="str">
        <f aca="false">IF($C247="","",INDEX(Clean!$D$2:$D$101,$C247))</f>
        <v/>
      </c>
      <c r="F247" s="40" t="str">
        <f aca="false">IF($C247="","",INDEX(Clean!$G$2:$G$101,$C247))</f>
        <v/>
      </c>
      <c r="G247" s="40" t="str">
        <f aca="false">IF($C247="","",INDEX(Clean!$H$2:$H$101,$C247)/1000000)</f>
        <v/>
      </c>
      <c r="H247" s="42" t="str">
        <f aca="false">IF($C247="","",INDEX(Clean!$I$2:$I$101,$C247))</f>
        <v/>
      </c>
      <c r="I247" s="37"/>
      <c r="J247" s="37"/>
      <c r="K247" s="37"/>
      <c r="L247" s="37"/>
    </row>
    <row r="248" customFormat="false" ht="15" hidden="false" customHeight="false" outlineLevel="0" collapsed="false">
      <c r="A248" s="37" t="n">
        <v>10</v>
      </c>
      <c r="B248" s="37" t="str">
        <f aca="false">IFERROR(LARGE(Clean!$AL$2:$AL$101,A248),"")</f>
        <v/>
      </c>
      <c r="C248" s="37" t="str">
        <f aca="false">IF(B248="","",MATCH(B248,Clean!$AL$2:$AL$101,0))</f>
        <v/>
      </c>
      <c r="D248" s="37" t="str">
        <f aca="false">IF($C248="","",INDEX(Clean!$B$2:$B$101,$C248))</f>
        <v/>
      </c>
      <c r="E248" s="37" t="str">
        <f aca="false">IF($C248="","",INDEX(Clean!$D$2:$D$101,$C248))</f>
        <v/>
      </c>
      <c r="F248" s="40" t="str">
        <f aca="false">IF($C248="","",INDEX(Clean!$G$2:$G$101,$C248))</f>
        <v/>
      </c>
      <c r="G248" s="40" t="str">
        <f aca="false">IF($C248="","",INDEX(Clean!$H$2:$H$101,$C248)/1000000)</f>
        <v/>
      </c>
      <c r="H248" s="42" t="str">
        <f aca="false">IF($C248="","",INDEX(Clean!$I$2:$I$101,$C248))</f>
        <v/>
      </c>
      <c r="I248" s="37"/>
      <c r="J248" s="37"/>
      <c r="K248" s="37"/>
      <c r="L248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AU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24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3" min="22" style="0" width="9"/>
    <col collapsed="false" customWidth="true" hidden="false" outlineLevel="0" max="24" min="24" style="0" width="24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18"/>
    <col collapsed="false" customWidth="true" hidden="false" outlineLevel="0" max="28" min="28" style="0" width="11"/>
    <col collapsed="false" customWidth="true" hidden="false" outlineLevel="0" max="29" min="29" style="0" width="12"/>
    <col collapsed="false" customWidth="true" hidden="false" outlineLevel="0" max="30" min="30" style="0" width="11"/>
    <col collapsed="false" customWidth="true" hidden="false" outlineLevel="0" max="33" min="31" style="0" width="9"/>
    <col collapsed="false" customWidth="true" hidden="false" outlineLevel="0" max="34" min="34" style="0" width="11"/>
    <col collapsed="false" customWidth="true" hidden="false" outlineLevel="0" max="36" min="35" style="0" width="9"/>
    <col collapsed="false" customWidth="true" hidden="false" outlineLevel="0" max="38" min="37" style="0" width="11"/>
    <col collapsed="false" customWidth="true" hidden="false" outlineLevel="0" max="44" min="39" style="0" width="8"/>
    <col collapsed="false" customWidth="true" hidden="false" outlineLevel="0" max="46" min="45" style="0" width="10"/>
    <col collapsed="false" customWidth="true" hidden="false" outlineLevel="0" max="47" min="47" style="0" width="40"/>
  </cols>
  <sheetData>
    <row r="1" customFormat="false" ht="42" hidden="false" customHeight="true" outlineLevel="0" collapsed="false">
      <c r="A1" s="38" t="s">
        <v>130</v>
      </c>
      <c r="B1" s="38" t="s">
        <v>123</v>
      </c>
      <c r="C1" s="38" t="s">
        <v>131</v>
      </c>
      <c r="D1" s="38" t="s">
        <v>70</v>
      </c>
      <c r="E1" s="38" t="s">
        <v>132</v>
      </c>
      <c r="F1" s="38" t="s">
        <v>133</v>
      </c>
      <c r="G1" s="38" t="s">
        <v>134</v>
      </c>
      <c r="H1" s="38" t="s">
        <v>135</v>
      </c>
      <c r="I1" s="38" t="s">
        <v>136</v>
      </c>
      <c r="J1" s="38" t="s">
        <v>137</v>
      </c>
      <c r="K1" s="38" t="s">
        <v>111</v>
      </c>
      <c r="L1" s="38" t="s">
        <v>138</v>
      </c>
      <c r="M1" s="38" t="s">
        <v>139</v>
      </c>
      <c r="N1" s="38" t="s">
        <v>140</v>
      </c>
      <c r="O1" s="38" t="s">
        <v>141</v>
      </c>
      <c r="P1" s="38" t="s">
        <v>142</v>
      </c>
      <c r="Q1" s="38" t="s">
        <v>143</v>
      </c>
      <c r="R1" s="38" t="s">
        <v>144</v>
      </c>
      <c r="S1" s="38" t="s">
        <v>145</v>
      </c>
      <c r="T1" s="38" t="s">
        <v>146</v>
      </c>
      <c r="U1" s="38" t="s">
        <v>147</v>
      </c>
      <c r="V1" s="38" t="s">
        <v>148</v>
      </c>
      <c r="W1" s="38" t="s">
        <v>149</v>
      </c>
      <c r="X1" s="38" t="s">
        <v>150</v>
      </c>
      <c r="Y1" s="38" t="s">
        <v>151</v>
      </c>
      <c r="Z1" s="38" t="s">
        <v>152</v>
      </c>
      <c r="AA1" s="38" t="s">
        <v>153</v>
      </c>
      <c r="AB1" s="38" t="s">
        <v>154</v>
      </c>
      <c r="AC1" s="38" t="s">
        <v>155</v>
      </c>
      <c r="AD1" s="38" t="s">
        <v>156</v>
      </c>
      <c r="AE1" s="38" t="s">
        <v>157</v>
      </c>
      <c r="AF1" s="46" t="s">
        <v>158</v>
      </c>
      <c r="AG1" s="46" t="s">
        <v>159</v>
      </c>
      <c r="AH1" s="46" t="s">
        <v>160</v>
      </c>
      <c r="AI1" s="46" t="s">
        <v>161</v>
      </c>
      <c r="AJ1" s="46" t="s">
        <v>162</v>
      </c>
      <c r="AK1" s="46" t="s">
        <v>163</v>
      </c>
      <c r="AL1" s="46" t="s">
        <v>164</v>
      </c>
      <c r="AM1" s="46" t="s">
        <v>165</v>
      </c>
      <c r="AN1" s="46" t="s">
        <v>166</v>
      </c>
      <c r="AO1" s="46" t="s">
        <v>167</v>
      </c>
      <c r="AP1" s="46" t="s">
        <v>168</v>
      </c>
      <c r="AQ1" s="46" t="s">
        <v>169</v>
      </c>
      <c r="AR1" s="46" t="s">
        <v>170</v>
      </c>
      <c r="AS1" s="46" t="s">
        <v>171</v>
      </c>
      <c r="AT1" s="46" t="s">
        <v>172</v>
      </c>
      <c r="AU1" s="46" t="s">
        <v>173</v>
      </c>
    </row>
    <row r="2" customFormat="false" ht="15" hidden="false" customHeight="false" outlineLevel="0" collapsed="false">
      <c r="A2" s="39" t="n">
        <f aca="false">Raw!A2</f>
        <v>60492</v>
      </c>
      <c r="B2" s="37" t="str">
        <f aca="false">Raw!B2</f>
        <v>لپ تاپ لنوو 15.6 اینچی مدل IdeaPad Slim 3 i3 1315U 8GB 512GB</v>
      </c>
      <c r="C2" s="37" t="str">
        <f aca="false">LOWER(TRIM(Raw!C2))</f>
        <v>lenovo</v>
      </c>
      <c r="D2" s="37" t="str">
        <f aca="false">IFERROR(INDEX(Params!$B$5:$B$13,MATCH(C2,Params!$A$5:$A$13,0)),PROPER(C2))</f>
        <v>Lenovo</v>
      </c>
      <c r="E2" s="37" t="str">
        <f aca="false">IF(Raw!F2,"Available","Out of stock")</f>
        <v>Available</v>
      </c>
      <c r="F2" s="43" t="n">
        <f aca="false">IF(Raw!D2="","",Raw!D2)</f>
        <v>125499000</v>
      </c>
      <c r="G2" s="40" t="n">
        <f aca="false">IF(ISNUMBER(F2),F2/1000000,"")</f>
        <v>125.499</v>
      </c>
      <c r="H2" s="43" t="n">
        <f aca="false">IF(Raw!E2="","",Raw!E2)</f>
        <v>126000000</v>
      </c>
      <c r="I2" s="42" t="n">
        <f aca="false">IF(AND(ISNUMBER(H2),ISNUMBER(F2)),IF(H2&gt;F2,(H2-F2)/H2,0),0)</f>
        <v>0.00397619047619048</v>
      </c>
      <c r="J2" s="39" t="n">
        <f aca="false">IF(I2&gt;0,1,0)</f>
        <v>1</v>
      </c>
      <c r="K2" s="45" t="n">
        <f aca="false">Raw!G2</f>
        <v>4.2</v>
      </c>
      <c r="L2" s="39" t="n">
        <f aca="false">Raw!H2</f>
        <v>45</v>
      </c>
      <c r="M2" s="41" t="n">
        <f aca="false">IF(L2&gt;0,(L2*K2+p_m*p_c)/(L2+p_m),"")</f>
        <v>4.25</v>
      </c>
      <c r="N2" s="37" t="str">
        <f aca="false">IF(Raw!I2="","",TRIM(Raw!I2))</f>
        <v>Core i3 1315U</v>
      </c>
      <c r="O2" s="37" t="str">
        <f aca="false">IF(N2="","Unknown",IF(LEFT(N2,5)="Apple","Apple",IF(LEFT(N2,5)="Ryzen","AMD","Intel")))</f>
        <v>Intel</v>
      </c>
      <c r="P2" s="37" t="str">
        <f aca="false">IF(N2="","Unknown",IF(LEFT(N2,5)="Apple","Apple Silicon",IF(LEFT(N2,8)="Ryzen AI","Ryzen AI",TRIM(LEFT(N2,7)))))</f>
        <v>Core i3</v>
      </c>
      <c r="Q2" s="39" t="n">
        <f aca="false">IFERROR(VALUE(LEFT(Raw!J2,FIND(" ",Raw!J2)-1)),"")</f>
        <v>8</v>
      </c>
      <c r="R2" s="37" t="str">
        <f aca="false">IF(NOT(ISNUMBER(Q2)),"Unknown",IF(Q2&lt;=8,"≤ 8 GB",IF(Q2&lt;=16,"12–16 GB","20 GB +")))</f>
        <v>≤ 8 GB</v>
      </c>
      <c r="S2" s="37" t="str">
        <f aca="false">IF(Raw!K2="","",IF(ISNUMBER(FIND(" و ",Raw!K2)),TRIM(MID(Raw!K2,FIND(" و ",Raw!K2)+3,100)),TRIM(Raw!K2)))</f>
        <v>512 گیگابایت</v>
      </c>
      <c r="T2" s="43" t="n">
        <f aca="false">IF(S2="","",IFERROR(IFERROR(VALUE(LEFT(S2,FIND(" ",S2)-1)),VALUE(LEFT(S2,LEN(S2)-2)))*IF(OR(ISNUMBER(SEARCH("ترابایت",S2)),ISNUMBER(SEARCH("TB",S2))),1024,1),""))</f>
        <v>512</v>
      </c>
      <c r="U2" s="37" t="str">
        <f aca="false">IF(NOT(ISNUMBER(T2)),"Unknown",IF(T2&lt;=256,"≤ 256 GB",IF(T2&lt;=512,"512 GB","1 TB +")))</f>
        <v>512 GB</v>
      </c>
      <c r="V2" s="45" t="n">
        <f aca="false">IFERROR(VALUE(SUBSTITUTE(LEFT(Raw!L2,FIND(" ",Raw!L2)-1),".",MID(1/2,2,1))),"")</f>
        <v>15.6</v>
      </c>
      <c r="W2" s="41" t="n">
        <f aca="false">IFERROR(VALUE(SUBSTITUTE(LEFT(Raw!N2,FIND(" ",Raw!N2)-1),".",MID(1/2,2,1))),"")</f>
        <v>1.6</v>
      </c>
      <c r="X2" s="37" t="str">
        <f aca="false">IF(Raw!M2="","",TRIM(Raw!M2))</f>
        <v>Intel UHD Graphics</v>
      </c>
      <c r="Y2" s="37" t="str">
        <f aca="false">IF(X2="","Unknown",IF(ISNUMBER(SEARCH("nvidia",X2)),"NVIDIA",IF(ISNUMBER(SEARCH("amd",X2)),"AMD",IF(ISNUMBER(SEARCH("apple",X2)),"Apple",IF(ISNUMBER(SEARCH("intel",X2)),"Intel","Other")))))</f>
        <v>Intel</v>
      </c>
      <c r="Z2" s="37" t="str">
        <f aca="false">IF(X2="","Unknown",IF(ISNUMBER(SEARCH("RTX",X2))+ISNUMBER(SEARCH("GTX",X2))+ISNUMBER(SEARCH("nvidia",X2))+ISNUMBER(SEARCH("Radeon RX",X2))&gt;0,"Dedicated","Integrated"))</f>
        <v>Integrated</v>
      </c>
      <c r="AA2" s="37" t="str">
        <f aca="false">IF(ISNUMBER(SEARCH("RTX",X2)),TRIM(MID(X2,SEARCH("RTX",X2),8)),IF(X2="","Unknown",IF(Z2="Dedicated","Dedicated (model n/a)","Integrated")))</f>
        <v>Integrated</v>
      </c>
      <c r="AB2" s="37" t="str">
        <f aca="false">IF(ISNUMBER(G2),INDEX(Params!$E$5:$E$9,MATCH(G2,Params!$D$5:$D$9,1)),"Unknown")</f>
        <v>100–200 M</v>
      </c>
      <c r="AC2" s="45" t="n">
        <f aca="false">IF(AND(ISNUMBER(G2),ISNUMBER(Q2)),IF(Q2&gt;0,G2/Q2,""),"")</f>
        <v>15.687375</v>
      </c>
      <c r="AD2" s="39" t="n">
        <f aca="false">IF(OR(p_excl=0,ISNUMBER(SEARCH("لپ",B2))),1,0)</f>
        <v>1</v>
      </c>
      <c r="AE2" s="39" t="n">
        <f aca="false">IF(AND(AD2=1,OR(fBrand="All",D2=fBrand),OR(fCPU="All",O2=fCPU),OR(fGPU="All",Z2=fGPU),OR(fTier="All",AB2=fTier),OR(fRAM="All",R2=fRAM)),1,0)</f>
        <v>1</v>
      </c>
      <c r="AF2" s="39" t="n">
        <f aca="false">IF(AND(AE2=1,ISNUMBER(G2)),1,0)</f>
        <v>1</v>
      </c>
      <c r="AG2" s="39" t="n">
        <f aca="false">IF(AND(AE2=1,L2&gt;0),1,0)</f>
        <v>1</v>
      </c>
      <c r="AH2" s="40" t="n">
        <f aca="false">IF(AF2=1,G2,"")</f>
        <v>125.499</v>
      </c>
      <c r="AI2" s="39" t="n">
        <f aca="false">IF(COUNTIF($D$2:D2,D2)=1,MAX($AI$1:AI1)+1,"")</f>
        <v>1</v>
      </c>
      <c r="AJ2" s="39" t="n">
        <f aca="false">IF(COUNTIF($P$2:P2,P2)=1,MAX($AJ$1:AJ1)+1,"")</f>
        <v>1</v>
      </c>
      <c r="AK2" s="47" t="n">
        <f aca="false">IF(AG2=1,M2+ROW()/1000000000,"")</f>
        <v>4.250000002</v>
      </c>
      <c r="AL2" s="47" t="n">
        <f aca="false">IF(AND(AE2=1,I2&gt;0),I2+ROW()/1000000000,"")</f>
        <v>0.00397619247619048</v>
      </c>
      <c r="AM2" s="39" t="n">
        <f aca="false">IF(AND(AF2=1,ISNUMBER(W2),Z2="Dedicated"),1,0)</f>
        <v>0</v>
      </c>
      <c r="AN2" s="39" t="n">
        <f aca="false">SUM($AM$2:AM2)</f>
        <v>0</v>
      </c>
      <c r="AO2" s="39" t="n">
        <f aca="false">IF(AND(AF2=1,ISNUMBER(W2),Z2&lt;&gt;"Dedicated"),1,0)</f>
        <v>1</v>
      </c>
      <c r="AP2" s="39" t="n">
        <f aca="false">SUM($AO$2:AO2)</f>
        <v>1</v>
      </c>
      <c r="AQ2" s="39" t="n">
        <f aca="false">IF(AND(AF2=1,AG2=1),1,0)</f>
        <v>1</v>
      </c>
      <c r="AR2" s="39" t="n">
        <f aca="false">SUM($AQ$2:AQ2)</f>
        <v>1</v>
      </c>
      <c r="AS2" s="45" t="n">
        <f aca="false">IF(AQ2=1,G2,0)</f>
        <v>125.499</v>
      </c>
      <c r="AT2" s="45" t="n">
        <f aca="false">IF(AQ2=1,K2,0)</f>
        <v>4.2</v>
      </c>
      <c r="AU2" s="37" t="str">
        <f aca="false">TRIM(IF(Raw!N2="","weight missing; ","")&amp;IF(Raw!K2="","storage missing; ","")&amp;IF(ISNUMBER(FIND(" و ",Raw!K2)),"dual storage - SSD part used; ","")&amp;IF(ISNUMBER(SEARCH("TB",Raw!K2)),"storage written as TB; ","")&amp;IF(Raw!I2="","cpu missing; ","")&amp;IF(Raw!M2="","gpu missing; ","")&amp;IF(Raw!J2="","ram missing; ","")&amp;IF(Raw!L2="","screen missing; ",""))</f>
        <v/>
      </c>
    </row>
    <row r="3" customFormat="false" ht="15" hidden="false" customHeight="false" outlineLevel="0" collapsed="false">
      <c r="A3" s="39" t="n">
        <f aca="false">Raw!A3</f>
        <v>511107</v>
      </c>
      <c r="B3" s="37" t="str">
        <f aca="false">Raw!B3</f>
        <v>لپ تاپ ام اس آی 15.6 اینچی مدل Cyborg 15 A13UC i7 13620H 16GB 1TB RTX 3050</v>
      </c>
      <c r="C3" s="37" t="str">
        <f aca="false">LOWER(TRIM(Raw!C3))</f>
        <v>msi</v>
      </c>
      <c r="D3" s="37" t="str">
        <f aca="false">IFERROR(INDEX(Params!$B$5:$B$13,MATCH(C3,Params!$A$5:$A$13,0)),PROPER(C3))</f>
        <v>MSI</v>
      </c>
      <c r="E3" s="37" t="str">
        <f aca="false">IF(Raw!F3,"Available","Out of stock")</f>
        <v>Available</v>
      </c>
      <c r="F3" s="43" t="n">
        <f aca="false">IF(Raw!D3="","",Raw!D3)</f>
        <v>272000000</v>
      </c>
      <c r="G3" s="40" t="n">
        <f aca="false">IF(ISNUMBER(F3),F3/1000000,"")</f>
        <v>272</v>
      </c>
      <c r="H3" s="43" t="str">
        <f aca="false">IF(Raw!E3="","",Raw!E3)</f>
        <v/>
      </c>
      <c r="I3" s="42" t="n">
        <f aca="false">IF(AND(ISNUMBER(H3),ISNUMBER(F3)),IF(H3&gt;F3,(H3-F3)/H3,0),0)</f>
        <v>0</v>
      </c>
      <c r="J3" s="39" t="n">
        <f aca="false">IF(I3&gt;0,1,0)</f>
        <v>0</v>
      </c>
      <c r="K3" s="45" t="n">
        <f aca="false">Raw!G3</f>
        <v>5</v>
      </c>
      <c r="L3" s="39" t="n">
        <f aca="false">Raw!H3</f>
        <v>2</v>
      </c>
      <c r="M3" s="41" t="n">
        <f aca="false">IF(L3&gt;0,(L3*K3+p_m*p_c)/(L3+p_m),"")</f>
        <v>4.5625</v>
      </c>
      <c r="N3" s="37" t="str">
        <f aca="false">IF(Raw!I3="","",TRIM(Raw!I3))</f>
        <v>Core i7 13620H</v>
      </c>
      <c r="O3" s="37" t="str">
        <f aca="false">IF(N3="","Unknown",IF(LEFT(N3,5)="Apple","Apple",IF(LEFT(N3,5)="Ryzen","AMD","Intel")))</f>
        <v>Intel</v>
      </c>
      <c r="P3" s="37" t="str">
        <f aca="false">IF(N3="","Unknown",IF(LEFT(N3,5)="Apple","Apple Silicon",IF(LEFT(N3,8)="Ryzen AI","Ryzen AI",TRIM(LEFT(N3,7)))))</f>
        <v>Core i7</v>
      </c>
      <c r="Q3" s="39" t="n">
        <f aca="false">IFERROR(VALUE(LEFT(Raw!J3,FIND(" ",Raw!J3)-1)),"")</f>
        <v>16</v>
      </c>
      <c r="R3" s="37" t="str">
        <f aca="false">IF(NOT(ISNUMBER(Q3)),"Unknown",IF(Q3&lt;=8,"≤ 8 GB",IF(Q3&lt;=16,"12–16 GB","20 GB +")))</f>
        <v>12–16 GB</v>
      </c>
      <c r="S3" s="37" t="str">
        <f aca="false">IF(Raw!K3="","",IF(ISNUMBER(FIND(" و ",Raw!K3)),TRIM(MID(Raw!K3,FIND(" و ",Raw!K3)+3,100)),TRIM(Raw!K3)))</f>
        <v>1 ترابایت</v>
      </c>
      <c r="T3" s="43" t="n">
        <f aca="false">IF(S3="","",IFERROR(IFERROR(VALUE(LEFT(S3,FIND(" ",S3)-1)),VALUE(LEFT(S3,LEN(S3)-2)))*IF(OR(ISNUMBER(SEARCH("ترابایت",S3)),ISNUMBER(SEARCH("TB",S3))),1024,1),""))</f>
        <v>1024</v>
      </c>
      <c r="U3" s="37" t="str">
        <f aca="false">IF(NOT(ISNUMBER(T3)),"Unknown",IF(T3&lt;=256,"≤ 256 GB",IF(T3&lt;=512,"512 GB","1 TB +")))</f>
        <v>1 TB +</v>
      </c>
      <c r="V3" s="45" t="n">
        <f aca="false">IFERROR(VALUE(SUBSTITUTE(LEFT(Raw!L3,FIND(" ",Raw!L3)-1),".",MID(1/2,2,1))),"")</f>
        <v>15.6</v>
      </c>
      <c r="W3" s="41" t="n">
        <f aca="false">IFERROR(VALUE(SUBSTITUTE(LEFT(Raw!N3,FIND(" ",Raw!N3)-1),".",MID(1/2,2,1))),"")</f>
        <v>1.98</v>
      </c>
      <c r="X3" s="37" t="str">
        <f aca="false">IF(Raw!M3="","",TRIM(Raw!M3))</f>
        <v>NVIDIA GeForce RTX 3050</v>
      </c>
      <c r="Y3" s="37" t="str">
        <f aca="false">IF(X3="","Unknown",IF(ISNUMBER(SEARCH("nvidia",X3)),"NVIDIA",IF(ISNUMBER(SEARCH("amd",X3)),"AMD",IF(ISNUMBER(SEARCH("apple",X3)),"Apple",IF(ISNUMBER(SEARCH("intel",X3)),"Intel","Other")))))</f>
        <v>NVIDIA</v>
      </c>
      <c r="Z3" s="37" t="str">
        <f aca="false">IF(X3="","Unknown",IF(ISNUMBER(SEARCH("RTX",X3))+ISNUMBER(SEARCH("GTX",X3))+ISNUMBER(SEARCH("nvidia",X3))+ISNUMBER(SEARCH("Radeon RX",X3))&gt;0,"Dedicated","Integrated"))</f>
        <v>Dedicated</v>
      </c>
      <c r="AA3" s="37" t="str">
        <f aca="false">IF(ISNUMBER(SEARCH("RTX",X3)),TRIM(MID(X3,SEARCH("RTX",X3),8)),IF(X3="","Unknown",IF(Z3="Dedicated","Dedicated (model n/a)","Integrated")))</f>
        <v>RTX 3050</v>
      </c>
      <c r="AB3" s="37" t="str">
        <f aca="false">IF(ISNUMBER(G3),INDEX(Params!$E$5:$E$9,MATCH(G3,Params!$D$5:$D$9,1)),"Unknown")</f>
        <v>200–300 M</v>
      </c>
      <c r="AC3" s="45" t="n">
        <f aca="false">IF(AND(ISNUMBER(G3),ISNUMBER(Q3)),IF(Q3&gt;0,G3/Q3,""),"")</f>
        <v>17</v>
      </c>
      <c r="AD3" s="39" t="n">
        <f aca="false">IF(OR(p_excl=0,ISNUMBER(SEARCH("لپ",B3))),1,0)</f>
        <v>1</v>
      </c>
      <c r="AE3" s="39" t="n">
        <f aca="false">IF(AND(AD3=1,OR(fBrand="All",D3=fBrand),OR(fCPU="All",O3=fCPU),OR(fGPU="All",Z3=fGPU),OR(fTier="All",AB3=fTier),OR(fRAM="All",R3=fRAM)),1,0)</f>
        <v>1</v>
      </c>
      <c r="AF3" s="39" t="n">
        <f aca="false">IF(AND(AE3=1,ISNUMBER(G3)),1,0)</f>
        <v>1</v>
      </c>
      <c r="AG3" s="39" t="n">
        <f aca="false">IF(AND(AE3=1,L3&gt;0),1,0)</f>
        <v>1</v>
      </c>
      <c r="AH3" s="40" t="n">
        <f aca="false">IF(AF3=1,G3,"")</f>
        <v>272</v>
      </c>
      <c r="AI3" s="39" t="n">
        <f aca="false">IF(COUNTIF($D$2:D3,D3)=1,MAX($AI$1:AI2)+1,"")</f>
        <v>2</v>
      </c>
      <c r="AJ3" s="39" t="n">
        <f aca="false">IF(COUNTIF($P$2:P3,P3)=1,MAX($AJ$1:AJ2)+1,"")</f>
        <v>2</v>
      </c>
      <c r="AK3" s="47" t="n">
        <f aca="false">IF(AG3=1,M3+ROW()/1000000000,"")</f>
        <v>4.562500003</v>
      </c>
      <c r="AL3" s="47" t="str">
        <f aca="false">IF(AND(AE3=1,I3&gt;0),I3+ROW()/1000000000,"")</f>
        <v/>
      </c>
      <c r="AM3" s="39" t="n">
        <f aca="false">IF(AND(AF3=1,ISNUMBER(W3),Z3="Dedicated"),1,0)</f>
        <v>1</v>
      </c>
      <c r="AN3" s="39" t="n">
        <f aca="false">SUM($AM$2:AM3)</f>
        <v>1</v>
      </c>
      <c r="AO3" s="39" t="n">
        <f aca="false">IF(AND(AF3=1,ISNUMBER(W3),Z3&lt;&gt;"Dedicated"),1,0)</f>
        <v>0</v>
      </c>
      <c r="AP3" s="39" t="n">
        <f aca="false">SUM($AO$2:AO3)</f>
        <v>1</v>
      </c>
      <c r="AQ3" s="39" t="n">
        <f aca="false">IF(AND(AF3=1,AG3=1),1,0)</f>
        <v>1</v>
      </c>
      <c r="AR3" s="39" t="n">
        <f aca="false">SUM($AQ$2:AQ3)</f>
        <v>2</v>
      </c>
      <c r="AS3" s="45" t="n">
        <f aca="false">IF(AQ3=1,G3,0)</f>
        <v>272</v>
      </c>
      <c r="AT3" s="45" t="n">
        <f aca="false">IF(AQ3=1,K3,0)</f>
        <v>5</v>
      </c>
      <c r="AU3" s="37" t="str">
        <f aca="false">TRIM(IF(Raw!N3="","weight missing; ","")&amp;IF(Raw!K3="","storage missing; ","")&amp;IF(ISNUMBER(FIND(" و ",Raw!K3)),"dual storage - SSD part used; ","")&amp;IF(ISNUMBER(SEARCH("TB",Raw!K3)),"storage written as TB; ","")&amp;IF(Raw!I3="","cpu missing; ","")&amp;IF(Raw!M3="","gpu missing; ","")&amp;IF(Raw!J3="","ram missing; ","")&amp;IF(Raw!L3="","screen missing; ",""))</f>
        <v/>
      </c>
    </row>
    <row r="4" customFormat="false" ht="15" hidden="false" customHeight="false" outlineLevel="0" collapsed="false">
      <c r="A4" s="39" t="n">
        <f aca="false">Raw!A4</f>
        <v>133524</v>
      </c>
      <c r="B4" s="37" t="str">
        <f aca="false">Raw!B4</f>
        <v>لپ تاپ لنوو 15.3 اینچی مدل IdeaPad Slim 3 i5 13420H 16GB 512GB</v>
      </c>
      <c r="C4" s="37" t="str">
        <f aca="false">LOWER(TRIM(Raw!C4))</f>
        <v>lenovo</v>
      </c>
      <c r="D4" s="37" t="str">
        <f aca="false">IFERROR(INDEX(Params!$B$5:$B$13,MATCH(C4,Params!$A$5:$A$13,0)),PROPER(C4))</f>
        <v>Lenovo</v>
      </c>
      <c r="E4" s="37" t="str">
        <f aca="false">IF(Raw!F4,"Available","Out of stock")</f>
        <v>Available</v>
      </c>
      <c r="F4" s="43" t="n">
        <f aca="false">IF(Raw!D4="","",Raw!D4)</f>
        <v>185000000</v>
      </c>
      <c r="G4" s="40" t="n">
        <f aca="false">IF(ISNUMBER(F4),F4/1000000,"")</f>
        <v>185</v>
      </c>
      <c r="H4" s="43" t="str">
        <f aca="false">IF(Raw!E4="","",Raw!E4)</f>
        <v/>
      </c>
      <c r="I4" s="42" t="n">
        <f aca="false">IF(AND(ISNUMBER(H4),ISNUMBER(F4)),IF(H4&gt;F4,(H4-F4)/H4,0),0)</f>
        <v>0</v>
      </c>
      <c r="J4" s="39" t="n">
        <f aca="false">IF(I4&gt;0,1,0)</f>
        <v>0</v>
      </c>
      <c r="K4" s="45" t="n">
        <f aca="false">Raw!G4</f>
        <v>3.8</v>
      </c>
      <c r="L4" s="39" t="n">
        <f aca="false">Raw!H4</f>
        <v>36</v>
      </c>
      <c r="M4" s="41" t="n">
        <f aca="false">IF(L4&gt;0,(L4*K4+p_m*p_c)/(L4+p_m),"")</f>
        <v>3.94673913043478</v>
      </c>
      <c r="N4" s="37" t="str">
        <f aca="false">IF(Raw!I4="","",TRIM(Raw!I4))</f>
        <v>Core i5 13420H</v>
      </c>
      <c r="O4" s="37" t="str">
        <f aca="false">IF(N4="","Unknown",IF(LEFT(N4,5)="Apple","Apple",IF(LEFT(N4,5)="Ryzen","AMD","Intel")))</f>
        <v>Intel</v>
      </c>
      <c r="P4" s="37" t="str">
        <f aca="false">IF(N4="","Unknown",IF(LEFT(N4,5)="Apple","Apple Silicon",IF(LEFT(N4,8)="Ryzen AI","Ryzen AI",TRIM(LEFT(N4,7)))))</f>
        <v>Core i5</v>
      </c>
      <c r="Q4" s="39" t="n">
        <f aca="false">IFERROR(VALUE(LEFT(Raw!J4,FIND(" ",Raw!J4)-1)),"")</f>
        <v>16</v>
      </c>
      <c r="R4" s="37" t="str">
        <f aca="false">IF(NOT(ISNUMBER(Q4)),"Unknown",IF(Q4&lt;=8,"≤ 8 GB",IF(Q4&lt;=16,"12–16 GB","20 GB +")))</f>
        <v>12–16 GB</v>
      </c>
      <c r="S4" s="37" t="str">
        <f aca="false">IF(Raw!K4="","",IF(ISNUMBER(FIND(" و ",Raw!K4)),TRIM(MID(Raw!K4,FIND(" و ",Raw!K4)+3,100)),TRIM(Raw!K4)))</f>
        <v>512 گیگابایت</v>
      </c>
      <c r="T4" s="43" t="n">
        <f aca="false">IF(S4="","",IFERROR(IFERROR(VALUE(LEFT(S4,FIND(" ",S4)-1)),VALUE(LEFT(S4,LEN(S4)-2)))*IF(OR(ISNUMBER(SEARCH("ترابایت",S4)),ISNUMBER(SEARCH("TB",S4))),1024,1),""))</f>
        <v>512</v>
      </c>
      <c r="U4" s="37" t="str">
        <f aca="false">IF(NOT(ISNUMBER(T4)),"Unknown",IF(T4&lt;=256,"≤ 256 GB",IF(T4&lt;=512,"512 GB","1 TB +")))</f>
        <v>512 GB</v>
      </c>
      <c r="V4" s="45" t="n">
        <f aca="false">IFERROR(VALUE(SUBSTITUTE(LEFT(Raw!L4,FIND(" ",Raw!L4)-1),".",MID(1/2,2,1))),"")</f>
        <v>15.3</v>
      </c>
      <c r="W4" s="41" t="str">
        <f aca="false">IFERROR(VALUE(SUBSTITUTE(LEFT(Raw!N4,FIND(" ",Raw!N4)-1),".",MID(1/2,2,1))),"")</f>
        <v/>
      </c>
      <c r="X4" s="37" t="str">
        <f aca="false">IF(Raw!M4="","",TRIM(Raw!M4))</f>
        <v>Intel UHD Graphics</v>
      </c>
      <c r="Y4" s="37" t="str">
        <f aca="false">IF(X4="","Unknown",IF(ISNUMBER(SEARCH("nvidia",X4)),"NVIDIA",IF(ISNUMBER(SEARCH("amd",X4)),"AMD",IF(ISNUMBER(SEARCH("apple",X4)),"Apple",IF(ISNUMBER(SEARCH("intel",X4)),"Intel","Other")))))</f>
        <v>Intel</v>
      </c>
      <c r="Z4" s="37" t="str">
        <f aca="false">IF(X4="","Unknown",IF(ISNUMBER(SEARCH("RTX",X4))+ISNUMBER(SEARCH("GTX",X4))+ISNUMBER(SEARCH("nvidia",X4))+ISNUMBER(SEARCH("Radeon RX",X4))&gt;0,"Dedicated","Integrated"))</f>
        <v>Integrated</v>
      </c>
      <c r="AA4" s="37" t="str">
        <f aca="false">IF(ISNUMBER(SEARCH("RTX",X4)),TRIM(MID(X4,SEARCH("RTX",X4),8)),IF(X4="","Unknown",IF(Z4="Dedicated","Dedicated (model n/a)","Integrated")))</f>
        <v>Integrated</v>
      </c>
      <c r="AB4" s="37" t="str">
        <f aca="false">IF(ISNUMBER(G4),INDEX(Params!$E$5:$E$9,MATCH(G4,Params!$D$5:$D$9,1)),"Unknown")</f>
        <v>100–200 M</v>
      </c>
      <c r="AC4" s="45" t="n">
        <f aca="false">IF(AND(ISNUMBER(G4),ISNUMBER(Q4)),IF(Q4&gt;0,G4/Q4,""),"")</f>
        <v>11.5625</v>
      </c>
      <c r="AD4" s="39" t="n">
        <f aca="false">IF(OR(p_excl=0,ISNUMBER(SEARCH("لپ",B4))),1,0)</f>
        <v>1</v>
      </c>
      <c r="AE4" s="39" t="n">
        <f aca="false">IF(AND(AD4=1,OR(fBrand="All",D4=fBrand),OR(fCPU="All",O4=fCPU),OR(fGPU="All",Z4=fGPU),OR(fTier="All",AB4=fTier),OR(fRAM="All",R4=fRAM)),1,0)</f>
        <v>1</v>
      </c>
      <c r="AF4" s="39" t="n">
        <f aca="false">IF(AND(AE4=1,ISNUMBER(G4)),1,0)</f>
        <v>1</v>
      </c>
      <c r="AG4" s="39" t="n">
        <f aca="false">IF(AND(AE4=1,L4&gt;0),1,0)</f>
        <v>1</v>
      </c>
      <c r="AH4" s="40" t="n">
        <f aca="false">IF(AF4=1,G4,"")</f>
        <v>185</v>
      </c>
      <c r="AI4" s="39" t="str">
        <f aca="false">IF(COUNTIF($D$2:D4,D4)=1,MAX($AI$1:AI3)+1,"")</f>
        <v/>
      </c>
      <c r="AJ4" s="39" t="n">
        <f aca="false">IF(COUNTIF($P$2:P4,P4)=1,MAX($AJ$1:AJ3)+1,"")</f>
        <v>3</v>
      </c>
      <c r="AK4" s="47" t="n">
        <f aca="false">IF(AG4=1,M4+ROW()/1000000000,"")</f>
        <v>3.94673913443478</v>
      </c>
      <c r="AL4" s="47" t="str">
        <f aca="false">IF(AND(AE4=1,I4&gt;0),I4+ROW()/1000000000,"")</f>
        <v/>
      </c>
      <c r="AM4" s="39" t="n">
        <f aca="false">IF(AND(AF4=1,ISNUMBER(W4),Z4="Dedicated"),1,0)</f>
        <v>0</v>
      </c>
      <c r="AN4" s="39" t="n">
        <f aca="false">SUM($AM$2:AM4)</f>
        <v>1</v>
      </c>
      <c r="AO4" s="39" t="n">
        <f aca="false">IF(AND(AF4=1,ISNUMBER(W4),Z4&lt;&gt;"Dedicated"),1,0)</f>
        <v>0</v>
      </c>
      <c r="AP4" s="39" t="n">
        <f aca="false">SUM($AO$2:AO4)</f>
        <v>1</v>
      </c>
      <c r="AQ4" s="39" t="n">
        <f aca="false">IF(AND(AF4=1,AG4=1),1,0)</f>
        <v>1</v>
      </c>
      <c r="AR4" s="39" t="n">
        <f aca="false">SUM($AQ$2:AQ4)</f>
        <v>3</v>
      </c>
      <c r="AS4" s="45" t="n">
        <f aca="false">IF(AQ4=1,G4,0)</f>
        <v>185</v>
      </c>
      <c r="AT4" s="45" t="n">
        <f aca="false">IF(AQ4=1,K4,0)</f>
        <v>3.8</v>
      </c>
      <c r="AU4" s="37" t="str">
        <f aca="false">TRIM(IF(Raw!N4="","weight missing; ","")&amp;IF(Raw!K4="","storage missing; ","")&amp;IF(ISNUMBER(FIND(" و ",Raw!K4)),"dual storage - SSD part used; ","")&amp;IF(ISNUMBER(SEARCH("TB",Raw!K4)),"storage written as TB; ","")&amp;IF(Raw!I4="","cpu missing; ","")&amp;IF(Raw!M4="","gpu missing; ","")&amp;IF(Raw!J4="","ram missing; ","")&amp;IF(Raw!L4="","screen missing; ",""))</f>
        <v>weight missing;</v>
      </c>
    </row>
    <row r="5" customFormat="false" ht="15" hidden="false" customHeight="false" outlineLevel="0" collapsed="false">
      <c r="A5" s="39" t="n">
        <f aca="false">Raw!A5</f>
        <v>61555</v>
      </c>
      <c r="B5" s="37" t="str">
        <f aca="false">Raw!B5</f>
        <v>لپ تاپ ایسوس 14 اینچی مدل Vivobook E410KA Celeron N4500 4GB 256GB 64GB</v>
      </c>
      <c r="C5" s="37" t="str">
        <f aca="false">LOWER(TRIM(Raw!C5))</f>
        <v>asus</v>
      </c>
      <c r="D5" s="37" t="str">
        <f aca="false">IFERROR(INDEX(Params!$B$5:$B$13,MATCH(C5,Params!$A$5:$A$13,0)),PROPER(C5))</f>
        <v>ASUS</v>
      </c>
      <c r="E5" s="37" t="str">
        <f aca="false">IF(Raw!F5,"Available","Out of stock")</f>
        <v>Available</v>
      </c>
      <c r="F5" s="43" t="n">
        <f aca="false">IF(Raw!D5="","",Raw!D5)</f>
        <v>65500000</v>
      </c>
      <c r="G5" s="40" t="n">
        <f aca="false">IF(ISNUMBER(F5),F5/1000000,"")</f>
        <v>65.5</v>
      </c>
      <c r="H5" s="43" t="str">
        <f aca="false">IF(Raw!E5="","",Raw!E5)</f>
        <v/>
      </c>
      <c r="I5" s="42" t="n">
        <f aca="false">IF(AND(ISNUMBER(H5),ISNUMBER(F5)),IF(H5&gt;F5,(H5-F5)/H5,0),0)</f>
        <v>0</v>
      </c>
      <c r="J5" s="39" t="n">
        <f aca="false">IF(I5&gt;0,1,0)</f>
        <v>0</v>
      </c>
      <c r="K5" s="45" t="n">
        <f aca="false">Raw!G5</f>
        <v>4</v>
      </c>
      <c r="L5" s="39" t="n">
        <f aca="false">Raw!H5</f>
        <v>24</v>
      </c>
      <c r="M5" s="41" t="n">
        <f aca="false">IF(L5&gt;0,(L5*K5+p_m*p_c)/(L5+p_m),"")</f>
        <v>4.13970588235294</v>
      </c>
      <c r="N5" s="37" t="str">
        <f aca="false">IF(Raw!I5="","",TRIM(Raw!I5))</f>
        <v>Celeron N4500</v>
      </c>
      <c r="O5" s="37" t="str">
        <f aca="false">IF(N5="","Unknown",IF(LEFT(N5,5)="Apple","Apple",IF(LEFT(N5,5)="Ryzen","AMD","Intel")))</f>
        <v>Intel</v>
      </c>
      <c r="P5" s="37" t="str">
        <f aca="false">IF(N5="","Unknown",IF(LEFT(N5,5)="Apple","Apple Silicon",IF(LEFT(N5,8)="Ryzen AI","Ryzen AI",TRIM(LEFT(N5,7)))))</f>
        <v>Celeron</v>
      </c>
      <c r="Q5" s="39" t="n">
        <f aca="false">IFERROR(VALUE(LEFT(Raw!J5,FIND(" ",Raw!J5)-1)),"")</f>
        <v>4</v>
      </c>
      <c r="R5" s="37" t="str">
        <f aca="false">IF(NOT(ISNUMBER(Q5)),"Unknown",IF(Q5&lt;=8,"≤ 8 GB",IF(Q5&lt;=16,"12–16 GB","20 GB +")))</f>
        <v>≤ 8 GB</v>
      </c>
      <c r="S5" s="37" t="str">
        <f aca="false">IF(Raw!K5="","",IF(ISNUMBER(FIND(" و ",Raw!K5)),TRIM(MID(Raw!K5,FIND(" و ",Raw!K5)+3,100)),TRIM(Raw!K5)))</f>
        <v>256 گیگابایت حافظه SSD</v>
      </c>
      <c r="T5" s="43" t="n">
        <f aca="false">IF(S5="","",IFERROR(IFERROR(VALUE(LEFT(S5,FIND(" ",S5)-1)),VALUE(LEFT(S5,LEN(S5)-2)))*IF(OR(ISNUMBER(SEARCH("ترابایت",S5)),ISNUMBER(SEARCH("TB",S5))),1024,1),""))</f>
        <v>256</v>
      </c>
      <c r="U5" s="37" t="str">
        <f aca="false">IF(NOT(ISNUMBER(T5)),"Unknown",IF(T5&lt;=256,"≤ 256 GB",IF(T5&lt;=512,"512 GB","1 TB +")))</f>
        <v>≤ 256 GB</v>
      </c>
      <c r="V5" s="45" t="n">
        <f aca="false">IFERROR(VALUE(SUBSTITUTE(LEFT(Raw!L5,FIND(" ",Raw!L5)-1),".",MID(1/2,2,1))),"")</f>
        <v>14</v>
      </c>
      <c r="W5" s="41" t="n">
        <f aca="false">IFERROR(VALUE(SUBSTITUTE(LEFT(Raw!N5,FIND(" ",Raw!N5)-1),".",MID(1/2,2,1))),"")</f>
        <v>1.3</v>
      </c>
      <c r="X5" s="37" t="str">
        <f aca="false">IF(Raw!M5="","",TRIM(Raw!M5))</f>
        <v>Intel UHD Graphics</v>
      </c>
      <c r="Y5" s="37" t="str">
        <f aca="false">IF(X5="","Unknown",IF(ISNUMBER(SEARCH("nvidia",X5)),"NVIDIA",IF(ISNUMBER(SEARCH("amd",X5)),"AMD",IF(ISNUMBER(SEARCH("apple",X5)),"Apple",IF(ISNUMBER(SEARCH("intel",X5)),"Intel","Other")))))</f>
        <v>Intel</v>
      </c>
      <c r="Z5" s="37" t="str">
        <f aca="false">IF(X5="","Unknown",IF(ISNUMBER(SEARCH("RTX",X5))+ISNUMBER(SEARCH("GTX",X5))+ISNUMBER(SEARCH("nvidia",X5))+ISNUMBER(SEARCH("Radeon RX",X5))&gt;0,"Dedicated","Integrated"))</f>
        <v>Integrated</v>
      </c>
      <c r="AA5" s="37" t="str">
        <f aca="false">IF(ISNUMBER(SEARCH("RTX",X5)),TRIM(MID(X5,SEARCH("RTX",X5),8)),IF(X5="","Unknown",IF(Z5="Dedicated","Dedicated (model n/a)","Integrated")))</f>
        <v>Integrated</v>
      </c>
      <c r="AB5" s="37" t="str">
        <f aca="false">IF(ISNUMBER(G5),INDEX(Params!$E$5:$E$9,MATCH(G5,Params!$D$5:$D$9,1)),"Unknown")</f>
        <v>&lt; 100 M</v>
      </c>
      <c r="AC5" s="45" t="n">
        <f aca="false">IF(AND(ISNUMBER(G5),ISNUMBER(Q5)),IF(Q5&gt;0,G5/Q5,""),"")</f>
        <v>16.375</v>
      </c>
      <c r="AD5" s="39" t="n">
        <f aca="false">IF(OR(p_excl=0,ISNUMBER(SEARCH("لپ",B5))),1,0)</f>
        <v>1</v>
      </c>
      <c r="AE5" s="39" t="n">
        <f aca="false">IF(AND(AD5=1,OR(fBrand="All",D5=fBrand),OR(fCPU="All",O5=fCPU),OR(fGPU="All",Z5=fGPU),OR(fTier="All",AB5=fTier),OR(fRAM="All",R5=fRAM)),1,0)</f>
        <v>1</v>
      </c>
      <c r="AF5" s="39" t="n">
        <f aca="false">IF(AND(AE5=1,ISNUMBER(G5)),1,0)</f>
        <v>1</v>
      </c>
      <c r="AG5" s="39" t="n">
        <f aca="false">IF(AND(AE5=1,L5&gt;0),1,0)</f>
        <v>1</v>
      </c>
      <c r="AH5" s="40" t="n">
        <f aca="false">IF(AF5=1,G5,"")</f>
        <v>65.5</v>
      </c>
      <c r="AI5" s="39" t="n">
        <f aca="false">IF(COUNTIF($D$2:D5,D5)=1,MAX($AI$1:AI4)+1,"")</f>
        <v>3</v>
      </c>
      <c r="AJ5" s="39" t="n">
        <f aca="false">IF(COUNTIF($P$2:P5,P5)=1,MAX($AJ$1:AJ4)+1,"")</f>
        <v>4</v>
      </c>
      <c r="AK5" s="47" t="n">
        <f aca="false">IF(AG5=1,M5+ROW()/1000000000,"")</f>
        <v>4.13970588735294</v>
      </c>
      <c r="AL5" s="47" t="str">
        <f aca="false">IF(AND(AE5=1,I5&gt;0),I5+ROW()/1000000000,"")</f>
        <v/>
      </c>
      <c r="AM5" s="39" t="n">
        <f aca="false">IF(AND(AF5=1,ISNUMBER(W5),Z5="Dedicated"),1,0)</f>
        <v>0</v>
      </c>
      <c r="AN5" s="39" t="n">
        <f aca="false">SUM($AM$2:AM5)</f>
        <v>1</v>
      </c>
      <c r="AO5" s="39" t="n">
        <f aca="false">IF(AND(AF5=1,ISNUMBER(W5),Z5&lt;&gt;"Dedicated"),1,0)</f>
        <v>1</v>
      </c>
      <c r="AP5" s="39" t="n">
        <f aca="false">SUM($AO$2:AO5)</f>
        <v>2</v>
      </c>
      <c r="AQ5" s="39" t="n">
        <f aca="false">IF(AND(AF5=1,AG5=1),1,0)</f>
        <v>1</v>
      </c>
      <c r="AR5" s="39" t="n">
        <f aca="false">SUM($AQ$2:AQ5)</f>
        <v>4</v>
      </c>
      <c r="AS5" s="45" t="n">
        <f aca="false">IF(AQ5=1,G5,0)</f>
        <v>65.5</v>
      </c>
      <c r="AT5" s="45" t="n">
        <f aca="false">IF(AQ5=1,K5,0)</f>
        <v>4</v>
      </c>
      <c r="AU5" s="37" t="str">
        <f aca="false">TRIM(IF(Raw!N5="","weight missing; ","")&amp;IF(Raw!K5="","storage missing; ","")&amp;IF(ISNUMBER(FIND(" و ",Raw!K5)),"dual storage - SSD part used; ","")&amp;IF(ISNUMBER(SEARCH("TB",Raw!K5)),"storage written as TB; ","")&amp;IF(Raw!I5="","cpu missing; ","")&amp;IF(Raw!M5="","gpu missing; ","")&amp;IF(Raw!J5="","ram missing; ","")&amp;IF(Raw!L5="","screen missing; ",""))</f>
        <v>dual storage - SSD part used;</v>
      </c>
    </row>
    <row r="6" customFormat="false" ht="15" hidden="false" customHeight="false" outlineLevel="0" collapsed="false">
      <c r="A6" s="39" t="n">
        <f aca="false">Raw!A6</f>
        <v>239877</v>
      </c>
      <c r="B6" s="37" t="str">
        <f aca="false">Raw!B6</f>
        <v>لپ تاپ اچ پی 15.6 اینچی مدل Victus 15 FA2082WM i5 13420H 16GB 512GB RTX4050</v>
      </c>
      <c r="C6" s="37" t="str">
        <f aca="false">LOWER(TRIM(Raw!C6))</f>
        <v>hp</v>
      </c>
      <c r="D6" s="37" t="str">
        <f aca="false">IFERROR(INDEX(Params!$B$5:$B$13,MATCH(C6,Params!$A$5:$A$13,0)),PROPER(C6))</f>
        <v>HP</v>
      </c>
      <c r="E6" s="37" t="str">
        <f aca="false">IF(Raw!F6,"Available","Out of stock")</f>
        <v>Available</v>
      </c>
      <c r="F6" s="43" t="n">
        <f aca="false">IF(Raw!D6="","",Raw!D6)</f>
        <v>275000000</v>
      </c>
      <c r="G6" s="40" t="n">
        <f aca="false">IF(ISNUMBER(F6),F6/1000000,"")</f>
        <v>275</v>
      </c>
      <c r="H6" s="43" t="n">
        <f aca="false">IF(Raw!E6="","",Raw!E6)</f>
        <v>285000000</v>
      </c>
      <c r="I6" s="42" t="n">
        <f aca="false">IF(AND(ISNUMBER(H6),ISNUMBER(F6)),IF(H6&gt;F6,(H6-F6)/H6,0),0)</f>
        <v>0.0350877192982456</v>
      </c>
      <c r="J6" s="39" t="n">
        <f aca="false">IF(I6&gt;0,1,0)</f>
        <v>1</v>
      </c>
      <c r="K6" s="45" t="n">
        <f aca="false">Raw!G6</f>
        <v>4.2</v>
      </c>
      <c r="L6" s="39" t="n">
        <f aca="false">Raw!H6</f>
        <v>36</v>
      </c>
      <c r="M6" s="41" t="n">
        <f aca="false">IF(L6&gt;0,(L6*K6+p_m*p_c)/(L6+p_m),"")</f>
        <v>4.25978260869565</v>
      </c>
      <c r="N6" s="37" t="str">
        <f aca="false">IF(Raw!I6="","",TRIM(Raw!I6))</f>
        <v>Core i5 13420H</v>
      </c>
      <c r="O6" s="37" t="str">
        <f aca="false">IF(N6="","Unknown",IF(LEFT(N6,5)="Apple","Apple",IF(LEFT(N6,5)="Ryzen","AMD","Intel")))</f>
        <v>Intel</v>
      </c>
      <c r="P6" s="37" t="str">
        <f aca="false">IF(N6="","Unknown",IF(LEFT(N6,5)="Apple","Apple Silicon",IF(LEFT(N6,8)="Ryzen AI","Ryzen AI",TRIM(LEFT(N6,7)))))</f>
        <v>Core i5</v>
      </c>
      <c r="Q6" s="39" t="n">
        <f aca="false">IFERROR(VALUE(LEFT(Raw!J6,FIND(" ",Raw!J6)-1)),"")</f>
        <v>16</v>
      </c>
      <c r="R6" s="37" t="str">
        <f aca="false">IF(NOT(ISNUMBER(Q6)),"Unknown",IF(Q6&lt;=8,"≤ 8 GB",IF(Q6&lt;=16,"12–16 GB","20 GB +")))</f>
        <v>12–16 GB</v>
      </c>
      <c r="S6" s="37" t="str">
        <f aca="false">IF(Raw!K6="","",IF(ISNUMBER(FIND(" و ",Raw!K6)),TRIM(MID(Raw!K6,FIND(" و ",Raw!K6)+3,100)),TRIM(Raw!K6)))</f>
        <v>512 گیگابایت</v>
      </c>
      <c r="T6" s="43" t="n">
        <f aca="false">IF(S6="","",IFERROR(IFERROR(VALUE(LEFT(S6,FIND(" ",S6)-1)),VALUE(LEFT(S6,LEN(S6)-2)))*IF(OR(ISNUMBER(SEARCH("ترابایت",S6)),ISNUMBER(SEARCH("TB",S6))),1024,1),""))</f>
        <v>512</v>
      </c>
      <c r="U6" s="37" t="str">
        <f aca="false">IF(NOT(ISNUMBER(T6)),"Unknown",IF(T6&lt;=256,"≤ 256 GB",IF(T6&lt;=512,"512 GB","1 TB +")))</f>
        <v>512 GB</v>
      </c>
      <c r="V6" s="45" t="n">
        <f aca="false">IFERROR(VALUE(SUBSTITUTE(LEFT(Raw!L6,FIND(" ",Raw!L6)-1),".",MID(1/2,2,1))),"")</f>
        <v>15.6</v>
      </c>
      <c r="W6" s="41" t="n">
        <f aca="false">IFERROR(VALUE(SUBSTITUTE(LEFT(Raw!N6,FIND(" ",Raw!N6)-1),".",MID(1/2,2,1))),"")</f>
        <v>2.29</v>
      </c>
      <c r="X6" s="37" t="str">
        <f aca="false">IF(Raw!M6="","",TRIM(Raw!M6))</f>
        <v>NVIDIA GeForce RTX 4050</v>
      </c>
      <c r="Y6" s="37" t="str">
        <f aca="false">IF(X6="","Unknown",IF(ISNUMBER(SEARCH("nvidia",X6)),"NVIDIA",IF(ISNUMBER(SEARCH("amd",X6)),"AMD",IF(ISNUMBER(SEARCH("apple",X6)),"Apple",IF(ISNUMBER(SEARCH("intel",X6)),"Intel","Other")))))</f>
        <v>NVIDIA</v>
      </c>
      <c r="Z6" s="37" t="str">
        <f aca="false">IF(X6="","Unknown",IF(ISNUMBER(SEARCH("RTX",X6))+ISNUMBER(SEARCH("GTX",X6))+ISNUMBER(SEARCH("nvidia",X6))+ISNUMBER(SEARCH("Radeon RX",X6))&gt;0,"Dedicated","Integrated"))</f>
        <v>Dedicated</v>
      </c>
      <c r="AA6" s="37" t="str">
        <f aca="false">IF(ISNUMBER(SEARCH("RTX",X6)),TRIM(MID(X6,SEARCH("RTX",X6),8)),IF(X6="","Unknown",IF(Z6="Dedicated","Dedicated (model n/a)","Integrated")))</f>
        <v>RTX 4050</v>
      </c>
      <c r="AB6" s="37" t="str">
        <f aca="false">IF(ISNUMBER(G6),INDEX(Params!$E$5:$E$9,MATCH(G6,Params!$D$5:$D$9,1)),"Unknown")</f>
        <v>200–300 M</v>
      </c>
      <c r="AC6" s="45" t="n">
        <f aca="false">IF(AND(ISNUMBER(G6),ISNUMBER(Q6)),IF(Q6&gt;0,G6/Q6,""),"")</f>
        <v>17.1875</v>
      </c>
      <c r="AD6" s="39" t="n">
        <f aca="false">IF(OR(p_excl=0,ISNUMBER(SEARCH("لپ",B6))),1,0)</f>
        <v>1</v>
      </c>
      <c r="AE6" s="39" t="n">
        <f aca="false">IF(AND(AD6=1,OR(fBrand="All",D6=fBrand),OR(fCPU="All",O6=fCPU),OR(fGPU="All",Z6=fGPU),OR(fTier="All",AB6=fTier),OR(fRAM="All",R6=fRAM)),1,0)</f>
        <v>1</v>
      </c>
      <c r="AF6" s="39" t="n">
        <f aca="false">IF(AND(AE6=1,ISNUMBER(G6)),1,0)</f>
        <v>1</v>
      </c>
      <c r="AG6" s="39" t="n">
        <f aca="false">IF(AND(AE6=1,L6&gt;0),1,0)</f>
        <v>1</v>
      </c>
      <c r="AH6" s="40" t="n">
        <f aca="false">IF(AF6=1,G6,"")</f>
        <v>275</v>
      </c>
      <c r="AI6" s="39" t="n">
        <f aca="false">IF(COUNTIF($D$2:D6,D6)=1,MAX($AI$1:AI5)+1,"")</f>
        <v>4</v>
      </c>
      <c r="AJ6" s="39" t="str">
        <f aca="false">IF(COUNTIF($P$2:P6,P6)=1,MAX($AJ$1:AJ5)+1,"")</f>
        <v/>
      </c>
      <c r="AK6" s="47" t="n">
        <f aca="false">IF(AG6=1,M6+ROW()/1000000000,"")</f>
        <v>4.25978261469565</v>
      </c>
      <c r="AL6" s="47" t="n">
        <f aca="false">IF(AND(AE6=1,I6&gt;0),I6+ROW()/1000000000,"")</f>
        <v>0.0350877252982456</v>
      </c>
      <c r="AM6" s="39" t="n">
        <f aca="false">IF(AND(AF6=1,ISNUMBER(W6),Z6="Dedicated"),1,0)</f>
        <v>1</v>
      </c>
      <c r="AN6" s="39" t="n">
        <f aca="false">SUM($AM$2:AM6)</f>
        <v>2</v>
      </c>
      <c r="AO6" s="39" t="n">
        <f aca="false">IF(AND(AF6=1,ISNUMBER(W6),Z6&lt;&gt;"Dedicated"),1,0)</f>
        <v>0</v>
      </c>
      <c r="AP6" s="39" t="n">
        <f aca="false">SUM($AO$2:AO6)</f>
        <v>2</v>
      </c>
      <c r="AQ6" s="39" t="n">
        <f aca="false">IF(AND(AF6=1,AG6=1),1,0)</f>
        <v>1</v>
      </c>
      <c r="AR6" s="39" t="n">
        <f aca="false">SUM($AQ$2:AQ6)</f>
        <v>5</v>
      </c>
      <c r="AS6" s="45" t="n">
        <f aca="false">IF(AQ6=1,G6,0)</f>
        <v>275</v>
      </c>
      <c r="AT6" s="45" t="n">
        <f aca="false">IF(AQ6=1,K6,0)</f>
        <v>4.2</v>
      </c>
      <c r="AU6" s="37" t="str">
        <f aca="false">TRIM(IF(Raw!N6="","weight missing; ","")&amp;IF(Raw!K6="","storage missing; ","")&amp;IF(ISNUMBER(FIND(" و ",Raw!K6)),"dual storage - SSD part used; ","")&amp;IF(ISNUMBER(SEARCH("TB",Raw!K6)),"storage written as TB; ","")&amp;IF(Raw!I6="","cpu missing; ","")&amp;IF(Raw!M6="","gpu missing; ","")&amp;IF(Raw!J6="","ram missing; ","")&amp;IF(Raw!L6="","screen missing; ",""))</f>
        <v/>
      </c>
    </row>
    <row r="7" customFormat="false" ht="15" hidden="false" customHeight="false" outlineLevel="0" collapsed="false">
      <c r="A7" s="39" t="n">
        <f aca="false">Raw!A7</f>
        <v>134276</v>
      </c>
      <c r="B7" s="37" t="str">
        <f aca="false">Raw!B7</f>
        <v>لپ تاپ 15.6 اینچی اچ پی مدل Victus 15 FA2013DX i5 13420H 16GB 512GB RTX 3050</v>
      </c>
      <c r="C7" s="37" t="str">
        <f aca="false">LOWER(TRIM(Raw!C7))</f>
        <v>hp</v>
      </c>
      <c r="D7" s="37" t="str">
        <f aca="false">IFERROR(INDEX(Params!$B$5:$B$13,MATCH(C7,Params!$A$5:$A$13,0)),PROPER(C7))</f>
        <v>HP</v>
      </c>
      <c r="E7" s="37" t="str">
        <f aca="false">IF(Raw!F7,"Available","Out of stock")</f>
        <v>Available</v>
      </c>
      <c r="F7" s="43" t="n">
        <f aca="false">IF(Raw!D7="","",Raw!D7)</f>
        <v>242000000</v>
      </c>
      <c r="G7" s="40" t="n">
        <f aca="false">IF(ISNUMBER(F7),F7/1000000,"")</f>
        <v>242</v>
      </c>
      <c r="H7" s="43" t="str">
        <f aca="false">IF(Raw!E7="","",Raw!E7)</f>
        <v/>
      </c>
      <c r="I7" s="42" t="n">
        <f aca="false">IF(AND(ISNUMBER(H7),ISNUMBER(F7)),IF(H7&gt;F7,(H7-F7)/H7,0),0)</f>
        <v>0</v>
      </c>
      <c r="J7" s="39" t="n">
        <f aca="false">IF(I7&gt;0,1,0)</f>
        <v>0</v>
      </c>
      <c r="K7" s="45" t="n">
        <f aca="false">Raw!G7</f>
        <v>4.4</v>
      </c>
      <c r="L7" s="39" t="n">
        <f aca="false">Raw!H7</f>
        <v>32</v>
      </c>
      <c r="M7" s="41" t="n">
        <f aca="false">IF(L7&gt;0,(L7*K7+p_m*p_c)/(L7+p_m),"")</f>
        <v>4.41785714285714</v>
      </c>
      <c r="N7" s="37" t="str">
        <f aca="false">IF(Raw!I7="","",TRIM(Raw!I7))</f>
        <v>Core i5 13420H</v>
      </c>
      <c r="O7" s="37" t="str">
        <f aca="false">IF(N7="","Unknown",IF(LEFT(N7,5)="Apple","Apple",IF(LEFT(N7,5)="Ryzen","AMD","Intel")))</f>
        <v>Intel</v>
      </c>
      <c r="P7" s="37" t="str">
        <f aca="false">IF(N7="","Unknown",IF(LEFT(N7,5)="Apple","Apple Silicon",IF(LEFT(N7,8)="Ryzen AI","Ryzen AI",TRIM(LEFT(N7,7)))))</f>
        <v>Core i5</v>
      </c>
      <c r="Q7" s="39" t="n">
        <f aca="false">IFERROR(VALUE(LEFT(Raw!J7,FIND(" ",Raw!J7)-1)),"")</f>
        <v>16</v>
      </c>
      <c r="R7" s="37" t="str">
        <f aca="false">IF(NOT(ISNUMBER(Q7)),"Unknown",IF(Q7&lt;=8,"≤ 8 GB",IF(Q7&lt;=16,"12–16 GB","20 GB +")))</f>
        <v>12–16 GB</v>
      </c>
      <c r="S7" s="37" t="str">
        <f aca="false">IF(Raw!K7="","",IF(ISNUMBER(FIND(" و ",Raw!K7)),TRIM(MID(Raw!K7,FIND(" و ",Raw!K7)+3,100)),TRIM(Raw!K7)))</f>
        <v>512 گیگابایت</v>
      </c>
      <c r="T7" s="43" t="n">
        <f aca="false">IF(S7="","",IFERROR(IFERROR(VALUE(LEFT(S7,FIND(" ",S7)-1)),VALUE(LEFT(S7,LEN(S7)-2)))*IF(OR(ISNUMBER(SEARCH("ترابایت",S7)),ISNUMBER(SEARCH("TB",S7))),1024,1),""))</f>
        <v>512</v>
      </c>
      <c r="U7" s="37" t="str">
        <f aca="false">IF(NOT(ISNUMBER(T7)),"Unknown",IF(T7&lt;=256,"≤ 256 GB",IF(T7&lt;=512,"512 GB","1 TB +")))</f>
        <v>512 GB</v>
      </c>
      <c r="V7" s="45" t="n">
        <f aca="false">IFERROR(VALUE(SUBSTITUTE(LEFT(Raw!L7,FIND(" ",Raw!L7)-1),".",MID(1/2,2,1))),"")</f>
        <v>15.6</v>
      </c>
      <c r="W7" s="41" t="n">
        <f aca="false">IFERROR(VALUE(SUBSTITUTE(LEFT(Raw!N7,FIND(" ",Raw!N7)-1),".",MID(1/2,2,1))),"")</f>
        <v>2.2</v>
      </c>
      <c r="X7" s="37" t="str">
        <f aca="false">IF(Raw!M7="","",TRIM(Raw!M7))</f>
        <v>NVIDIA GeForce RTX 3050</v>
      </c>
      <c r="Y7" s="37" t="str">
        <f aca="false">IF(X7="","Unknown",IF(ISNUMBER(SEARCH("nvidia",X7)),"NVIDIA",IF(ISNUMBER(SEARCH("amd",X7)),"AMD",IF(ISNUMBER(SEARCH("apple",X7)),"Apple",IF(ISNUMBER(SEARCH("intel",X7)),"Intel","Other")))))</f>
        <v>NVIDIA</v>
      </c>
      <c r="Z7" s="37" t="str">
        <f aca="false">IF(X7="","Unknown",IF(ISNUMBER(SEARCH("RTX",X7))+ISNUMBER(SEARCH("GTX",X7))+ISNUMBER(SEARCH("nvidia",X7))+ISNUMBER(SEARCH("Radeon RX",X7))&gt;0,"Dedicated","Integrated"))</f>
        <v>Dedicated</v>
      </c>
      <c r="AA7" s="37" t="str">
        <f aca="false">IF(ISNUMBER(SEARCH("RTX",X7)),TRIM(MID(X7,SEARCH("RTX",X7),8)),IF(X7="","Unknown",IF(Z7="Dedicated","Dedicated (model n/a)","Integrated")))</f>
        <v>RTX 3050</v>
      </c>
      <c r="AB7" s="37" t="str">
        <f aca="false">IF(ISNUMBER(G7),INDEX(Params!$E$5:$E$9,MATCH(G7,Params!$D$5:$D$9,1)),"Unknown")</f>
        <v>200–300 M</v>
      </c>
      <c r="AC7" s="45" t="n">
        <f aca="false">IF(AND(ISNUMBER(G7),ISNUMBER(Q7)),IF(Q7&gt;0,G7/Q7,""),"")</f>
        <v>15.125</v>
      </c>
      <c r="AD7" s="39" t="n">
        <f aca="false">IF(OR(p_excl=0,ISNUMBER(SEARCH("لپ",B7))),1,0)</f>
        <v>1</v>
      </c>
      <c r="AE7" s="39" t="n">
        <f aca="false">IF(AND(AD7=1,OR(fBrand="All",D7=fBrand),OR(fCPU="All",O7=fCPU),OR(fGPU="All",Z7=fGPU),OR(fTier="All",AB7=fTier),OR(fRAM="All",R7=fRAM)),1,0)</f>
        <v>1</v>
      </c>
      <c r="AF7" s="39" t="n">
        <f aca="false">IF(AND(AE7=1,ISNUMBER(G7)),1,0)</f>
        <v>1</v>
      </c>
      <c r="AG7" s="39" t="n">
        <f aca="false">IF(AND(AE7=1,L7&gt;0),1,0)</f>
        <v>1</v>
      </c>
      <c r="AH7" s="40" t="n">
        <f aca="false">IF(AF7=1,G7,"")</f>
        <v>242</v>
      </c>
      <c r="AI7" s="39" t="str">
        <f aca="false">IF(COUNTIF($D$2:D7,D7)=1,MAX($AI$1:AI6)+1,"")</f>
        <v/>
      </c>
      <c r="AJ7" s="39" t="str">
        <f aca="false">IF(COUNTIF($P$2:P7,P7)=1,MAX($AJ$1:AJ6)+1,"")</f>
        <v/>
      </c>
      <c r="AK7" s="47" t="n">
        <f aca="false">IF(AG7=1,M7+ROW()/1000000000,"")</f>
        <v>4.41785714985714</v>
      </c>
      <c r="AL7" s="47" t="str">
        <f aca="false">IF(AND(AE7=1,I7&gt;0),I7+ROW()/1000000000,"")</f>
        <v/>
      </c>
      <c r="AM7" s="39" t="n">
        <f aca="false">IF(AND(AF7=1,ISNUMBER(W7),Z7="Dedicated"),1,0)</f>
        <v>1</v>
      </c>
      <c r="AN7" s="39" t="n">
        <f aca="false">SUM($AM$2:AM7)</f>
        <v>3</v>
      </c>
      <c r="AO7" s="39" t="n">
        <f aca="false">IF(AND(AF7=1,ISNUMBER(W7),Z7&lt;&gt;"Dedicated"),1,0)</f>
        <v>0</v>
      </c>
      <c r="AP7" s="39" t="n">
        <f aca="false">SUM($AO$2:AO7)</f>
        <v>2</v>
      </c>
      <c r="AQ7" s="39" t="n">
        <f aca="false">IF(AND(AF7=1,AG7=1),1,0)</f>
        <v>1</v>
      </c>
      <c r="AR7" s="39" t="n">
        <f aca="false">SUM($AQ$2:AQ7)</f>
        <v>6</v>
      </c>
      <c r="AS7" s="45" t="n">
        <f aca="false">IF(AQ7=1,G7,0)</f>
        <v>242</v>
      </c>
      <c r="AT7" s="45" t="n">
        <f aca="false">IF(AQ7=1,K7,0)</f>
        <v>4.4</v>
      </c>
      <c r="AU7" s="37" t="str">
        <f aca="false">TRIM(IF(Raw!N7="","weight missing; ","")&amp;IF(Raw!K7="","storage missing; ","")&amp;IF(ISNUMBER(FIND(" و ",Raw!K7)),"dual storage - SSD part used; ","")&amp;IF(ISNUMBER(SEARCH("TB",Raw!K7)),"storage written as TB; ","")&amp;IF(Raw!I7="","cpu missing; ","")&amp;IF(Raw!M7="","gpu missing; ","")&amp;IF(Raw!J7="","ram missing; ","")&amp;IF(Raw!L7="","screen missing; ",""))</f>
        <v/>
      </c>
    </row>
    <row r="8" customFormat="false" ht="15" hidden="false" customHeight="false" outlineLevel="0" collapsed="false">
      <c r="A8" s="39" t="n">
        <f aca="false">Raw!A8</f>
        <v>133168</v>
      </c>
      <c r="B8" s="37" t="str">
        <f aca="false">Raw!B8</f>
        <v>لپ تاپ لنوو 15.3 اینچی مدل IdeaPad Slim 3 i7 13620H 16GB 512GB</v>
      </c>
      <c r="C8" s="37" t="str">
        <f aca="false">LOWER(TRIM(Raw!C8))</f>
        <v>lenovo</v>
      </c>
      <c r="D8" s="37" t="str">
        <f aca="false">IFERROR(INDEX(Params!$B$5:$B$13,MATCH(C8,Params!$A$5:$A$13,0)),PROPER(C8))</f>
        <v>Lenovo</v>
      </c>
      <c r="E8" s="37" t="str">
        <f aca="false">IF(Raw!F8,"Available","Out of stock")</f>
        <v>Available</v>
      </c>
      <c r="F8" s="43" t="n">
        <f aca="false">IF(Raw!D8="","",Raw!D8)</f>
        <v>220200000</v>
      </c>
      <c r="G8" s="40" t="n">
        <f aca="false">IF(ISNUMBER(F8),F8/1000000,"")</f>
        <v>220.2</v>
      </c>
      <c r="H8" s="43" t="str">
        <f aca="false">IF(Raw!E8="","",Raw!E8)</f>
        <v/>
      </c>
      <c r="I8" s="42" t="n">
        <f aca="false">IF(AND(ISNUMBER(H8),ISNUMBER(F8)),IF(H8&gt;F8,(H8-F8)/H8,0),0)</f>
        <v>0</v>
      </c>
      <c r="J8" s="39" t="n">
        <f aca="false">IF(I8&gt;0,1,0)</f>
        <v>0</v>
      </c>
      <c r="K8" s="45" t="n">
        <f aca="false">Raw!G8</f>
        <v>3.2</v>
      </c>
      <c r="L8" s="39" t="n">
        <f aca="false">Raw!H8</f>
        <v>11</v>
      </c>
      <c r="M8" s="41" t="n">
        <f aca="false">IF(L8&gt;0,(L8*K8+p_m*p_c)/(L8+p_m),"")</f>
        <v>3.80714285714286</v>
      </c>
      <c r="N8" s="37" t="str">
        <f aca="false">IF(Raw!I8="","",TRIM(Raw!I8))</f>
        <v>Core i7 13620H</v>
      </c>
      <c r="O8" s="37" t="str">
        <f aca="false">IF(N8="","Unknown",IF(LEFT(N8,5)="Apple","Apple",IF(LEFT(N8,5)="Ryzen","AMD","Intel")))</f>
        <v>Intel</v>
      </c>
      <c r="P8" s="37" t="str">
        <f aca="false">IF(N8="","Unknown",IF(LEFT(N8,5)="Apple","Apple Silicon",IF(LEFT(N8,8)="Ryzen AI","Ryzen AI",TRIM(LEFT(N8,7)))))</f>
        <v>Core i7</v>
      </c>
      <c r="Q8" s="39" t="n">
        <f aca="false">IFERROR(VALUE(LEFT(Raw!J8,FIND(" ",Raw!J8)-1)),"")</f>
        <v>16</v>
      </c>
      <c r="R8" s="37" t="str">
        <f aca="false">IF(NOT(ISNUMBER(Q8)),"Unknown",IF(Q8&lt;=8,"≤ 8 GB",IF(Q8&lt;=16,"12–16 GB","20 GB +")))</f>
        <v>12–16 GB</v>
      </c>
      <c r="S8" s="37" t="str">
        <f aca="false">IF(Raw!K8="","",IF(ISNUMBER(FIND(" و ",Raw!K8)),TRIM(MID(Raw!K8,FIND(" و ",Raw!K8)+3,100)),TRIM(Raw!K8)))</f>
        <v>512 گیگابایت</v>
      </c>
      <c r="T8" s="43" t="n">
        <f aca="false">IF(S8="","",IFERROR(IFERROR(VALUE(LEFT(S8,FIND(" ",S8)-1)),VALUE(LEFT(S8,LEN(S8)-2)))*IF(OR(ISNUMBER(SEARCH("ترابایت",S8)),ISNUMBER(SEARCH("TB",S8))),1024,1),""))</f>
        <v>512</v>
      </c>
      <c r="U8" s="37" t="str">
        <f aca="false">IF(NOT(ISNUMBER(T8)),"Unknown",IF(T8&lt;=256,"≤ 256 GB",IF(T8&lt;=512,"512 GB","1 TB +")))</f>
        <v>512 GB</v>
      </c>
      <c r="V8" s="45" t="n">
        <f aca="false">IFERROR(VALUE(SUBSTITUTE(LEFT(Raw!L8,FIND(" ",Raw!L8)-1),".",MID(1/2,2,1))),"")</f>
        <v>15.3</v>
      </c>
      <c r="W8" s="41" t="str">
        <f aca="false">IFERROR(VALUE(SUBSTITUTE(LEFT(Raw!N8,FIND(" ",Raw!N8)-1),".",MID(1/2,2,1))),"")</f>
        <v/>
      </c>
      <c r="X8" s="37" t="str">
        <f aca="false">IF(Raw!M8="","",TRIM(Raw!M8))</f>
        <v>Intel UHD Graphics</v>
      </c>
      <c r="Y8" s="37" t="str">
        <f aca="false">IF(X8="","Unknown",IF(ISNUMBER(SEARCH("nvidia",X8)),"NVIDIA",IF(ISNUMBER(SEARCH("amd",X8)),"AMD",IF(ISNUMBER(SEARCH("apple",X8)),"Apple",IF(ISNUMBER(SEARCH("intel",X8)),"Intel","Other")))))</f>
        <v>Intel</v>
      </c>
      <c r="Z8" s="37" t="str">
        <f aca="false">IF(X8="","Unknown",IF(ISNUMBER(SEARCH("RTX",X8))+ISNUMBER(SEARCH("GTX",X8))+ISNUMBER(SEARCH("nvidia",X8))+ISNUMBER(SEARCH("Radeon RX",X8))&gt;0,"Dedicated","Integrated"))</f>
        <v>Integrated</v>
      </c>
      <c r="AA8" s="37" t="str">
        <f aca="false">IF(ISNUMBER(SEARCH("RTX",X8)),TRIM(MID(X8,SEARCH("RTX",X8),8)),IF(X8="","Unknown",IF(Z8="Dedicated","Dedicated (model n/a)","Integrated")))</f>
        <v>Integrated</v>
      </c>
      <c r="AB8" s="37" t="str">
        <f aca="false">IF(ISNUMBER(G8),INDEX(Params!$E$5:$E$9,MATCH(G8,Params!$D$5:$D$9,1)),"Unknown")</f>
        <v>200–300 M</v>
      </c>
      <c r="AC8" s="45" t="n">
        <f aca="false">IF(AND(ISNUMBER(G8),ISNUMBER(Q8)),IF(Q8&gt;0,G8/Q8,""),"")</f>
        <v>13.7625</v>
      </c>
      <c r="AD8" s="39" t="n">
        <f aca="false">IF(OR(p_excl=0,ISNUMBER(SEARCH("لپ",B8))),1,0)</f>
        <v>1</v>
      </c>
      <c r="AE8" s="39" t="n">
        <f aca="false">IF(AND(AD8=1,OR(fBrand="All",D8=fBrand),OR(fCPU="All",O8=fCPU),OR(fGPU="All",Z8=fGPU),OR(fTier="All",AB8=fTier),OR(fRAM="All",R8=fRAM)),1,0)</f>
        <v>1</v>
      </c>
      <c r="AF8" s="39" t="n">
        <f aca="false">IF(AND(AE8=1,ISNUMBER(G8)),1,0)</f>
        <v>1</v>
      </c>
      <c r="AG8" s="39" t="n">
        <f aca="false">IF(AND(AE8=1,L8&gt;0),1,0)</f>
        <v>1</v>
      </c>
      <c r="AH8" s="40" t="n">
        <f aca="false">IF(AF8=1,G8,"")</f>
        <v>220.2</v>
      </c>
      <c r="AI8" s="39" t="str">
        <f aca="false">IF(COUNTIF($D$2:D8,D8)=1,MAX($AI$1:AI7)+1,"")</f>
        <v/>
      </c>
      <c r="AJ8" s="39" t="str">
        <f aca="false">IF(COUNTIF($P$2:P8,P8)=1,MAX($AJ$1:AJ7)+1,"")</f>
        <v/>
      </c>
      <c r="AK8" s="47" t="n">
        <f aca="false">IF(AG8=1,M8+ROW()/1000000000,"")</f>
        <v>3.80714286514286</v>
      </c>
      <c r="AL8" s="47" t="str">
        <f aca="false">IF(AND(AE8=1,I8&gt;0),I8+ROW()/1000000000,"")</f>
        <v/>
      </c>
      <c r="AM8" s="39" t="n">
        <f aca="false">IF(AND(AF8=1,ISNUMBER(W8),Z8="Dedicated"),1,0)</f>
        <v>0</v>
      </c>
      <c r="AN8" s="39" t="n">
        <f aca="false">SUM($AM$2:AM8)</f>
        <v>3</v>
      </c>
      <c r="AO8" s="39" t="n">
        <f aca="false">IF(AND(AF8=1,ISNUMBER(W8),Z8&lt;&gt;"Dedicated"),1,0)</f>
        <v>0</v>
      </c>
      <c r="AP8" s="39" t="n">
        <f aca="false">SUM($AO$2:AO8)</f>
        <v>2</v>
      </c>
      <c r="AQ8" s="39" t="n">
        <f aca="false">IF(AND(AF8=1,AG8=1),1,0)</f>
        <v>1</v>
      </c>
      <c r="AR8" s="39" t="n">
        <f aca="false">SUM($AQ$2:AQ8)</f>
        <v>7</v>
      </c>
      <c r="AS8" s="45" t="n">
        <f aca="false">IF(AQ8=1,G8,0)</f>
        <v>220.2</v>
      </c>
      <c r="AT8" s="45" t="n">
        <f aca="false">IF(AQ8=1,K8,0)</f>
        <v>3.2</v>
      </c>
      <c r="AU8" s="37" t="str">
        <f aca="false">TRIM(IF(Raw!N8="","weight missing; ","")&amp;IF(Raw!K8="","storage missing; ","")&amp;IF(ISNUMBER(FIND(" و ",Raw!K8)),"dual storage - SSD part used; ","")&amp;IF(ISNUMBER(SEARCH("TB",Raw!K8)),"storage written as TB; ","")&amp;IF(Raw!I8="","cpu missing; ","")&amp;IF(Raw!M8="","gpu missing; ","")&amp;IF(Raw!J8="","ram missing; ","")&amp;IF(Raw!L8="","screen missing; ",""))</f>
        <v>weight missing;</v>
      </c>
    </row>
    <row r="9" customFormat="false" ht="15" hidden="false" customHeight="false" outlineLevel="0" collapsed="false">
      <c r="A9" s="39" t="n">
        <f aca="false">Raw!A9</f>
        <v>106793</v>
      </c>
      <c r="B9" s="37" t="str">
        <f aca="false">Raw!B9</f>
        <v>لپ تاپ 15.6 اینچی لنوو مدل IdeaPad 1 15IJL7 Celeron N4500 8GB 256GB</v>
      </c>
      <c r="C9" s="37" t="str">
        <f aca="false">LOWER(TRIM(Raw!C9))</f>
        <v>lenovo</v>
      </c>
      <c r="D9" s="37" t="str">
        <f aca="false">IFERROR(INDEX(Params!$B$5:$B$13,MATCH(C9,Params!$A$5:$A$13,0)),PROPER(C9))</f>
        <v>Lenovo</v>
      </c>
      <c r="E9" s="37" t="str">
        <f aca="false">IF(Raw!F9,"Available","Out of stock")</f>
        <v>Available</v>
      </c>
      <c r="F9" s="43" t="n">
        <f aca="false">IF(Raw!D9="","",Raw!D9)</f>
        <v>94500000</v>
      </c>
      <c r="G9" s="40" t="n">
        <f aca="false">IF(ISNUMBER(F9),F9/1000000,"")</f>
        <v>94.5</v>
      </c>
      <c r="H9" s="43" t="str">
        <f aca="false">IF(Raw!E9="","",Raw!E9)</f>
        <v/>
      </c>
      <c r="I9" s="42" t="n">
        <f aca="false">IF(AND(ISNUMBER(H9),ISNUMBER(F9)),IF(H9&gt;F9,(H9-F9)/H9,0),0)</f>
        <v>0</v>
      </c>
      <c r="J9" s="39" t="n">
        <f aca="false">IF(I9&gt;0,1,0)</f>
        <v>0</v>
      </c>
      <c r="K9" s="45" t="n">
        <f aca="false">Raw!G9</f>
        <v>4.7</v>
      </c>
      <c r="L9" s="39" t="n">
        <f aca="false">Raw!H9</f>
        <v>6</v>
      </c>
      <c r="M9" s="41" t="n">
        <f aca="false">IF(L9&gt;0,(L9*K9+p_m*p_c)/(L9+p_m),"")</f>
        <v>4.559375</v>
      </c>
      <c r="N9" s="37" t="str">
        <f aca="false">IF(Raw!I9="","",TRIM(Raw!I9))</f>
        <v>Celeron N4500</v>
      </c>
      <c r="O9" s="37" t="str">
        <f aca="false">IF(N9="","Unknown",IF(LEFT(N9,5)="Apple","Apple",IF(LEFT(N9,5)="Ryzen","AMD","Intel")))</f>
        <v>Intel</v>
      </c>
      <c r="P9" s="37" t="str">
        <f aca="false">IF(N9="","Unknown",IF(LEFT(N9,5)="Apple","Apple Silicon",IF(LEFT(N9,8)="Ryzen AI","Ryzen AI",TRIM(LEFT(N9,7)))))</f>
        <v>Celeron</v>
      </c>
      <c r="Q9" s="39" t="n">
        <f aca="false">IFERROR(VALUE(LEFT(Raw!J9,FIND(" ",Raw!J9)-1)),"")</f>
        <v>8</v>
      </c>
      <c r="R9" s="37" t="str">
        <f aca="false">IF(NOT(ISNUMBER(Q9)),"Unknown",IF(Q9&lt;=8,"≤ 8 GB",IF(Q9&lt;=16,"12–16 GB","20 GB +")))</f>
        <v>≤ 8 GB</v>
      </c>
      <c r="S9" s="37" t="str">
        <f aca="false">IF(Raw!K9="","",IF(ISNUMBER(FIND(" و ",Raw!K9)),TRIM(MID(Raw!K9,FIND(" و ",Raw!K9)+3,100)),TRIM(Raw!K9)))</f>
        <v>256 گیگابایت</v>
      </c>
      <c r="T9" s="43" t="n">
        <f aca="false">IF(S9="","",IFERROR(IFERROR(VALUE(LEFT(S9,FIND(" ",S9)-1)),VALUE(LEFT(S9,LEN(S9)-2)))*IF(OR(ISNUMBER(SEARCH("ترابایت",S9)),ISNUMBER(SEARCH("TB",S9))),1024,1),""))</f>
        <v>256</v>
      </c>
      <c r="U9" s="37" t="str">
        <f aca="false">IF(NOT(ISNUMBER(T9)),"Unknown",IF(T9&lt;=256,"≤ 256 GB",IF(T9&lt;=512,"512 GB","1 TB +")))</f>
        <v>≤ 256 GB</v>
      </c>
      <c r="V9" s="45" t="n">
        <f aca="false">IFERROR(VALUE(SUBSTITUTE(LEFT(Raw!L9,FIND(" ",Raw!L9)-1),".",MID(1/2,2,1))),"")</f>
        <v>15.6</v>
      </c>
      <c r="W9" s="41" t="n">
        <f aca="false">IFERROR(VALUE(SUBSTITUTE(LEFT(Raw!N9,FIND(" ",Raw!N9)-1),".",MID(1/2,2,1))),"")</f>
        <v>1.55</v>
      </c>
      <c r="X9" s="37" t="str">
        <f aca="false">IF(Raw!M9="","",TRIM(Raw!M9))</f>
        <v>Intel UHD Graphics</v>
      </c>
      <c r="Y9" s="37" t="str">
        <f aca="false">IF(X9="","Unknown",IF(ISNUMBER(SEARCH("nvidia",X9)),"NVIDIA",IF(ISNUMBER(SEARCH("amd",X9)),"AMD",IF(ISNUMBER(SEARCH("apple",X9)),"Apple",IF(ISNUMBER(SEARCH("intel",X9)),"Intel","Other")))))</f>
        <v>Intel</v>
      </c>
      <c r="Z9" s="37" t="str">
        <f aca="false">IF(X9="","Unknown",IF(ISNUMBER(SEARCH("RTX",X9))+ISNUMBER(SEARCH("GTX",X9))+ISNUMBER(SEARCH("nvidia",X9))+ISNUMBER(SEARCH("Radeon RX",X9))&gt;0,"Dedicated","Integrated"))</f>
        <v>Integrated</v>
      </c>
      <c r="AA9" s="37" t="str">
        <f aca="false">IF(ISNUMBER(SEARCH("RTX",X9)),TRIM(MID(X9,SEARCH("RTX",X9),8)),IF(X9="","Unknown",IF(Z9="Dedicated","Dedicated (model n/a)","Integrated")))</f>
        <v>Integrated</v>
      </c>
      <c r="AB9" s="37" t="str">
        <f aca="false">IF(ISNUMBER(G9),INDEX(Params!$E$5:$E$9,MATCH(G9,Params!$D$5:$D$9,1)),"Unknown")</f>
        <v>&lt; 100 M</v>
      </c>
      <c r="AC9" s="45" t="n">
        <f aca="false">IF(AND(ISNUMBER(G9),ISNUMBER(Q9)),IF(Q9&gt;0,G9/Q9,""),"")</f>
        <v>11.8125</v>
      </c>
      <c r="AD9" s="39" t="n">
        <f aca="false">IF(OR(p_excl=0,ISNUMBER(SEARCH("لپ",B9))),1,0)</f>
        <v>1</v>
      </c>
      <c r="AE9" s="39" t="n">
        <f aca="false">IF(AND(AD9=1,OR(fBrand="All",D9=fBrand),OR(fCPU="All",O9=fCPU),OR(fGPU="All",Z9=fGPU),OR(fTier="All",AB9=fTier),OR(fRAM="All",R9=fRAM)),1,0)</f>
        <v>1</v>
      </c>
      <c r="AF9" s="39" t="n">
        <f aca="false">IF(AND(AE9=1,ISNUMBER(G9)),1,0)</f>
        <v>1</v>
      </c>
      <c r="AG9" s="39" t="n">
        <f aca="false">IF(AND(AE9=1,L9&gt;0),1,0)</f>
        <v>1</v>
      </c>
      <c r="AH9" s="40" t="n">
        <f aca="false">IF(AF9=1,G9,"")</f>
        <v>94.5</v>
      </c>
      <c r="AI9" s="39" t="str">
        <f aca="false">IF(COUNTIF($D$2:D9,D9)=1,MAX($AI$1:AI8)+1,"")</f>
        <v/>
      </c>
      <c r="AJ9" s="39" t="str">
        <f aca="false">IF(COUNTIF($P$2:P9,P9)=1,MAX($AJ$1:AJ8)+1,"")</f>
        <v/>
      </c>
      <c r="AK9" s="47" t="n">
        <f aca="false">IF(AG9=1,M9+ROW()/1000000000,"")</f>
        <v>4.559375009</v>
      </c>
      <c r="AL9" s="47" t="str">
        <f aca="false">IF(AND(AE9=1,I9&gt;0),I9+ROW()/1000000000,"")</f>
        <v/>
      </c>
      <c r="AM9" s="39" t="n">
        <f aca="false">IF(AND(AF9=1,ISNUMBER(W9),Z9="Dedicated"),1,0)</f>
        <v>0</v>
      </c>
      <c r="AN9" s="39" t="n">
        <f aca="false">SUM($AM$2:AM9)</f>
        <v>3</v>
      </c>
      <c r="AO9" s="39" t="n">
        <f aca="false">IF(AND(AF9=1,ISNUMBER(W9),Z9&lt;&gt;"Dedicated"),1,0)</f>
        <v>1</v>
      </c>
      <c r="AP9" s="39" t="n">
        <f aca="false">SUM($AO$2:AO9)</f>
        <v>3</v>
      </c>
      <c r="AQ9" s="39" t="n">
        <f aca="false">IF(AND(AF9=1,AG9=1),1,0)</f>
        <v>1</v>
      </c>
      <c r="AR9" s="39" t="n">
        <f aca="false">SUM($AQ$2:AQ9)</f>
        <v>8</v>
      </c>
      <c r="AS9" s="45" t="n">
        <f aca="false">IF(AQ9=1,G9,0)</f>
        <v>94.5</v>
      </c>
      <c r="AT9" s="45" t="n">
        <f aca="false">IF(AQ9=1,K9,0)</f>
        <v>4.7</v>
      </c>
      <c r="AU9" s="37" t="str">
        <f aca="false">TRIM(IF(Raw!N9="","weight missing; ","")&amp;IF(Raw!K9="","storage missing; ","")&amp;IF(ISNUMBER(FIND(" و ",Raw!K9)),"dual storage - SSD part used; ","")&amp;IF(ISNUMBER(SEARCH("TB",Raw!K9)),"storage written as TB; ","")&amp;IF(Raw!I9="","cpu missing; ","")&amp;IF(Raw!M9="","gpu missing; ","")&amp;IF(Raw!J9="","ram missing; ","")&amp;IF(Raw!L9="","screen missing; ",""))</f>
        <v/>
      </c>
    </row>
    <row r="10" customFormat="false" ht="15" hidden="false" customHeight="false" outlineLevel="0" collapsed="false">
      <c r="A10" s="39" t="n">
        <f aca="false">Raw!A10</f>
        <v>66798</v>
      </c>
      <c r="B10" s="37" t="str">
        <f aca="false">Raw!B10</f>
        <v>لپ تاپ ایسوس 15.6 اینچی مدل Vivobook X1504VA Core 7 ۱۵۰U 16GB 512GB</v>
      </c>
      <c r="C10" s="37" t="str">
        <f aca="false">LOWER(TRIM(Raw!C10))</f>
        <v>asus</v>
      </c>
      <c r="D10" s="37" t="str">
        <f aca="false">IFERROR(INDEX(Params!$B$5:$B$13,MATCH(C10,Params!$A$5:$A$13,0)),PROPER(C10))</f>
        <v>ASUS</v>
      </c>
      <c r="E10" s="37" t="str">
        <f aca="false">IF(Raw!F10,"Available","Out of stock")</f>
        <v>Available</v>
      </c>
      <c r="F10" s="43" t="n">
        <f aca="false">IF(Raw!D10="","",Raw!D10)</f>
        <v>196600000</v>
      </c>
      <c r="G10" s="40" t="n">
        <f aca="false">IF(ISNUMBER(F10),F10/1000000,"")</f>
        <v>196.6</v>
      </c>
      <c r="H10" s="43" t="str">
        <f aca="false">IF(Raw!E10="","",Raw!E10)</f>
        <v/>
      </c>
      <c r="I10" s="42" t="n">
        <f aca="false">IF(AND(ISNUMBER(H10),ISNUMBER(F10)),IF(H10&gt;F10,(H10-F10)/H10,0),0)</f>
        <v>0</v>
      </c>
      <c r="J10" s="39" t="n">
        <f aca="false">IF(I10&gt;0,1,0)</f>
        <v>0</v>
      </c>
      <c r="K10" s="45" t="n">
        <f aca="false">Raw!G10</f>
        <v>5</v>
      </c>
      <c r="L10" s="39" t="n">
        <f aca="false">Raw!H10</f>
        <v>1</v>
      </c>
      <c r="M10" s="41" t="n">
        <f aca="false">IF(L10&gt;0,(L10*K10+p_m*p_c)/(L10+p_m),"")</f>
        <v>4.52272727272727</v>
      </c>
      <c r="N10" s="37" t="str">
        <f aca="false">IF(Raw!I10="","",TRIM(Raw!I10))</f>
        <v>Core 7 150U</v>
      </c>
      <c r="O10" s="37" t="str">
        <f aca="false">IF(N10="","Unknown",IF(LEFT(N10,5)="Apple","Apple",IF(LEFT(N10,5)="Ryzen","AMD","Intel")))</f>
        <v>Intel</v>
      </c>
      <c r="P10" s="37" t="str">
        <f aca="false">IF(N10="","Unknown",IF(LEFT(N10,5)="Apple","Apple Silicon",IF(LEFT(N10,8)="Ryzen AI","Ryzen AI",TRIM(LEFT(N10,7)))))</f>
        <v>Core 7</v>
      </c>
      <c r="Q10" s="39" t="n">
        <f aca="false">IFERROR(VALUE(LEFT(Raw!J10,FIND(" ",Raw!J10)-1)),"")</f>
        <v>16</v>
      </c>
      <c r="R10" s="37" t="str">
        <f aca="false">IF(NOT(ISNUMBER(Q10)),"Unknown",IF(Q10&lt;=8,"≤ 8 GB",IF(Q10&lt;=16,"12–16 GB","20 GB +")))</f>
        <v>12–16 GB</v>
      </c>
      <c r="S10" s="37" t="str">
        <f aca="false">IF(Raw!K10="","",IF(ISNUMBER(FIND(" و ",Raw!K10)),TRIM(MID(Raw!K10,FIND(" و ",Raw!K10)+3,100)),TRIM(Raw!K10)))</f>
        <v>512 گیگابایت</v>
      </c>
      <c r="T10" s="43" t="n">
        <f aca="false">IF(S10="","",IFERROR(IFERROR(VALUE(LEFT(S10,FIND(" ",S10)-1)),VALUE(LEFT(S10,LEN(S10)-2)))*IF(OR(ISNUMBER(SEARCH("ترابایت",S10)),ISNUMBER(SEARCH("TB",S10))),1024,1),""))</f>
        <v>512</v>
      </c>
      <c r="U10" s="37" t="str">
        <f aca="false">IF(NOT(ISNUMBER(T10)),"Unknown",IF(T10&lt;=256,"≤ 256 GB",IF(T10&lt;=512,"512 GB","1 TB +")))</f>
        <v>512 GB</v>
      </c>
      <c r="V10" s="45" t="n">
        <f aca="false">IFERROR(VALUE(SUBSTITUTE(LEFT(Raw!L10,FIND(" ",Raw!L10)-1),".",MID(1/2,2,1))),"")</f>
        <v>15.6</v>
      </c>
      <c r="W10" s="41" t="n">
        <f aca="false">IFERROR(VALUE(SUBSTITUTE(LEFT(Raw!N10,FIND(" ",Raw!N10)-1),".",MID(1/2,2,1))),"")</f>
        <v>1.7</v>
      </c>
      <c r="X10" s="37" t="str">
        <f aca="false">IF(Raw!M10="","",TRIM(Raw!M10))</f>
        <v>Intel</v>
      </c>
      <c r="Y10" s="37" t="str">
        <f aca="false">IF(X10="","Unknown",IF(ISNUMBER(SEARCH("nvidia",X10)),"NVIDIA",IF(ISNUMBER(SEARCH("amd",X10)),"AMD",IF(ISNUMBER(SEARCH("apple",X10)),"Apple",IF(ISNUMBER(SEARCH("intel",X10)),"Intel","Other")))))</f>
        <v>Intel</v>
      </c>
      <c r="Z10" s="37" t="str">
        <f aca="false">IF(X10="","Unknown",IF(ISNUMBER(SEARCH("RTX",X10))+ISNUMBER(SEARCH("GTX",X10))+ISNUMBER(SEARCH("nvidia",X10))+ISNUMBER(SEARCH("Radeon RX",X10))&gt;0,"Dedicated","Integrated"))</f>
        <v>Integrated</v>
      </c>
      <c r="AA10" s="37" t="str">
        <f aca="false">IF(ISNUMBER(SEARCH("RTX",X10)),TRIM(MID(X10,SEARCH("RTX",X10),8)),IF(X10="","Unknown",IF(Z10="Dedicated","Dedicated (model n/a)","Integrated")))</f>
        <v>Integrated</v>
      </c>
      <c r="AB10" s="37" t="str">
        <f aca="false">IF(ISNUMBER(G10),INDEX(Params!$E$5:$E$9,MATCH(G10,Params!$D$5:$D$9,1)),"Unknown")</f>
        <v>100–200 M</v>
      </c>
      <c r="AC10" s="45" t="n">
        <f aca="false">IF(AND(ISNUMBER(G10),ISNUMBER(Q10)),IF(Q10&gt;0,G10/Q10,""),"")</f>
        <v>12.2875</v>
      </c>
      <c r="AD10" s="39" t="n">
        <f aca="false">IF(OR(p_excl=0,ISNUMBER(SEARCH("لپ",B10))),1,0)</f>
        <v>1</v>
      </c>
      <c r="AE10" s="39" t="n">
        <f aca="false">IF(AND(AD10=1,OR(fBrand="All",D10=fBrand),OR(fCPU="All",O10=fCPU),OR(fGPU="All",Z10=fGPU),OR(fTier="All",AB10=fTier),OR(fRAM="All",R10=fRAM)),1,0)</f>
        <v>1</v>
      </c>
      <c r="AF10" s="39" t="n">
        <f aca="false">IF(AND(AE10=1,ISNUMBER(G10)),1,0)</f>
        <v>1</v>
      </c>
      <c r="AG10" s="39" t="n">
        <f aca="false">IF(AND(AE10=1,L10&gt;0),1,0)</f>
        <v>1</v>
      </c>
      <c r="AH10" s="40" t="n">
        <f aca="false">IF(AF10=1,G10,"")</f>
        <v>196.6</v>
      </c>
      <c r="AI10" s="39" t="str">
        <f aca="false">IF(COUNTIF($D$2:D10,D10)=1,MAX($AI$1:AI9)+1,"")</f>
        <v/>
      </c>
      <c r="AJ10" s="39" t="n">
        <f aca="false">IF(COUNTIF($P$2:P10,P10)=1,MAX($AJ$1:AJ9)+1,"")</f>
        <v>5</v>
      </c>
      <c r="AK10" s="47" t="n">
        <f aca="false">IF(AG10=1,M10+ROW()/1000000000,"")</f>
        <v>4.52272728272727</v>
      </c>
      <c r="AL10" s="47" t="str">
        <f aca="false">IF(AND(AE10=1,I10&gt;0),I10+ROW()/1000000000,"")</f>
        <v/>
      </c>
      <c r="AM10" s="39" t="n">
        <f aca="false">IF(AND(AF10=1,ISNUMBER(W10),Z10="Dedicated"),1,0)</f>
        <v>0</v>
      </c>
      <c r="AN10" s="39" t="n">
        <f aca="false">SUM($AM$2:AM10)</f>
        <v>3</v>
      </c>
      <c r="AO10" s="39" t="n">
        <f aca="false">IF(AND(AF10=1,ISNUMBER(W10),Z10&lt;&gt;"Dedicated"),1,0)</f>
        <v>1</v>
      </c>
      <c r="AP10" s="39" t="n">
        <f aca="false">SUM($AO$2:AO10)</f>
        <v>4</v>
      </c>
      <c r="AQ10" s="39" t="n">
        <f aca="false">IF(AND(AF10=1,AG10=1),1,0)</f>
        <v>1</v>
      </c>
      <c r="AR10" s="39" t="n">
        <f aca="false">SUM($AQ$2:AQ10)</f>
        <v>9</v>
      </c>
      <c r="AS10" s="45" t="n">
        <f aca="false">IF(AQ10=1,G10,0)</f>
        <v>196.6</v>
      </c>
      <c r="AT10" s="45" t="n">
        <f aca="false">IF(AQ10=1,K10,0)</f>
        <v>5</v>
      </c>
      <c r="AU10" s="37" t="str">
        <f aca="false">TRIM(IF(Raw!N10="","weight missing; ","")&amp;IF(Raw!K10="","storage missing; ","")&amp;IF(ISNUMBER(FIND(" و ",Raw!K10)),"dual storage - SSD part used; ","")&amp;IF(ISNUMBER(SEARCH("TB",Raw!K10)),"storage written as TB; ","")&amp;IF(Raw!I10="","cpu missing; ","")&amp;IF(Raw!M10="","gpu missing; ","")&amp;IF(Raw!J10="","ram missing; ","")&amp;IF(Raw!L10="","screen missing; ",""))</f>
        <v/>
      </c>
    </row>
    <row r="11" customFormat="false" ht="15" hidden="false" customHeight="false" outlineLevel="0" collapsed="false">
      <c r="A11" s="39" t="n">
        <f aca="false">Raw!A11</f>
        <v>49420</v>
      </c>
      <c r="B11" s="37" t="str">
        <f aca="false">Raw!B11</f>
        <v>لپ تاپ لنوو 15.6 اینچی مدل V15 G4 i5 13420H 16GB 512GB SSD</v>
      </c>
      <c r="C11" s="37" t="str">
        <f aca="false">LOWER(TRIM(Raw!C11))</f>
        <v>lenovo</v>
      </c>
      <c r="D11" s="37" t="str">
        <f aca="false">IFERROR(INDEX(Params!$B$5:$B$13,MATCH(C11,Params!$A$5:$A$13,0)),PROPER(C11))</f>
        <v>Lenovo</v>
      </c>
      <c r="E11" s="37" t="str">
        <f aca="false">IF(Raw!F11,"Available","Out of stock")</f>
        <v>Available</v>
      </c>
      <c r="F11" s="43" t="n">
        <f aca="false">IF(Raw!D11="","",Raw!D11)</f>
        <v>178000000</v>
      </c>
      <c r="G11" s="40" t="n">
        <f aca="false">IF(ISNUMBER(F11),F11/1000000,"")</f>
        <v>178</v>
      </c>
      <c r="H11" s="43" t="str">
        <f aca="false">IF(Raw!E11="","",Raw!E11)</f>
        <v/>
      </c>
      <c r="I11" s="42" t="n">
        <f aca="false">IF(AND(ISNUMBER(H11),ISNUMBER(F11)),IF(H11&gt;F11,(H11-F11)/H11,0),0)</f>
        <v>0</v>
      </c>
      <c r="J11" s="39" t="n">
        <f aca="false">IF(I11&gt;0,1,0)</f>
        <v>0</v>
      </c>
      <c r="K11" s="45" t="n">
        <f aca="false">Raw!G11</f>
        <v>4.1</v>
      </c>
      <c r="L11" s="39" t="n">
        <f aca="false">Raw!H11</f>
        <v>36</v>
      </c>
      <c r="M11" s="41" t="n">
        <f aca="false">IF(L11&gt;0,(L11*K11+p_m*p_c)/(L11+p_m),"")</f>
        <v>4.18152173913043</v>
      </c>
      <c r="N11" s="37" t="str">
        <f aca="false">IF(Raw!I11="","",TRIM(Raw!I11))</f>
        <v>Core i5 13420H</v>
      </c>
      <c r="O11" s="37" t="str">
        <f aca="false">IF(N11="","Unknown",IF(LEFT(N11,5)="Apple","Apple",IF(LEFT(N11,5)="Ryzen","AMD","Intel")))</f>
        <v>Intel</v>
      </c>
      <c r="P11" s="37" t="str">
        <f aca="false">IF(N11="","Unknown",IF(LEFT(N11,5)="Apple","Apple Silicon",IF(LEFT(N11,8)="Ryzen AI","Ryzen AI",TRIM(LEFT(N11,7)))))</f>
        <v>Core i5</v>
      </c>
      <c r="Q11" s="39" t="n">
        <f aca="false">IFERROR(VALUE(LEFT(Raw!J11,FIND(" ",Raw!J11)-1)),"")</f>
        <v>16</v>
      </c>
      <c r="R11" s="37" t="str">
        <f aca="false">IF(NOT(ISNUMBER(Q11)),"Unknown",IF(Q11&lt;=8,"≤ 8 GB",IF(Q11&lt;=16,"12–16 GB","20 GB +")))</f>
        <v>12–16 GB</v>
      </c>
      <c r="S11" s="37" t="str">
        <f aca="false">IF(Raw!K11="","",IF(ISNUMBER(FIND(" و ",Raw!K11)),TRIM(MID(Raw!K11,FIND(" و ",Raw!K11)+3,100)),TRIM(Raw!K11)))</f>
        <v>512 گیگابایت</v>
      </c>
      <c r="T11" s="43" t="n">
        <f aca="false">IF(S11="","",IFERROR(IFERROR(VALUE(LEFT(S11,FIND(" ",S11)-1)),VALUE(LEFT(S11,LEN(S11)-2)))*IF(OR(ISNUMBER(SEARCH("ترابایت",S11)),ISNUMBER(SEARCH("TB",S11))),1024,1),""))</f>
        <v>512</v>
      </c>
      <c r="U11" s="37" t="str">
        <f aca="false">IF(NOT(ISNUMBER(T11)),"Unknown",IF(T11&lt;=256,"≤ 256 GB",IF(T11&lt;=512,"512 GB","1 TB +")))</f>
        <v>512 GB</v>
      </c>
      <c r="V11" s="45" t="n">
        <f aca="false">IFERROR(VALUE(SUBSTITUTE(LEFT(Raw!L11,FIND(" ",Raw!L11)-1),".",MID(1/2,2,1))),"")</f>
        <v>15.6</v>
      </c>
      <c r="W11" s="41" t="n">
        <f aca="false">IFERROR(VALUE(SUBSTITUTE(LEFT(Raw!N11,FIND(" ",Raw!N11)-1),".",MID(1/2,2,1))),"")</f>
        <v>1.6</v>
      </c>
      <c r="X11" s="37" t="str">
        <f aca="false">IF(Raw!M11="","",TRIM(Raw!M11))</f>
        <v>Intel UHD Graphics</v>
      </c>
      <c r="Y11" s="37" t="str">
        <f aca="false">IF(X11="","Unknown",IF(ISNUMBER(SEARCH("nvidia",X11)),"NVIDIA",IF(ISNUMBER(SEARCH("amd",X11)),"AMD",IF(ISNUMBER(SEARCH("apple",X11)),"Apple",IF(ISNUMBER(SEARCH("intel",X11)),"Intel","Other")))))</f>
        <v>Intel</v>
      </c>
      <c r="Z11" s="37" t="str">
        <f aca="false">IF(X11="","Unknown",IF(ISNUMBER(SEARCH("RTX",X11))+ISNUMBER(SEARCH("GTX",X11))+ISNUMBER(SEARCH("nvidia",X11))+ISNUMBER(SEARCH("Radeon RX",X11))&gt;0,"Dedicated","Integrated"))</f>
        <v>Integrated</v>
      </c>
      <c r="AA11" s="37" t="str">
        <f aca="false">IF(ISNUMBER(SEARCH("RTX",X11)),TRIM(MID(X11,SEARCH("RTX",X11),8)),IF(X11="","Unknown",IF(Z11="Dedicated","Dedicated (model n/a)","Integrated")))</f>
        <v>Integrated</v>
      </c>
      <c r="AB11" s="37" t="str">
        <f aca="false">IF(ISNUMBER(G11),INDEX(Params!$E$5:$E$9,MATCH(G11,Params!$D$5:$D$9,1)),"Unknown")</f>
        <v>100–200 M</v>
      </c>
      <c r="AC11" s="45" t="n">
        <f aca="false">IF(AND(ISNUMBER(G11),ISNUMBER(Q11)),IF(Q11&gt;0,G11/Q11,""),"")</f>
        <v>11.125</v>
      </c>
      <c r="AD11" s="39" t="n">
        <f aca="false">IF(OR(p_excl=0,ISNUMBER(SEARCH("لپ",B11))),1,0)</f>
        <v>1</v>
      </c>
      <c r="AE11" s="39" t="n">
        <f aca="false">IF(AND(AD11=1,OR(fBrand="All",D11=fBrand),OR(fCPU="All",O11=fCPU),OR(fGPU="All",Z11=fGPU),OR(fTier="All",AB11=fTier),OR(fRAM="All",R11=fRAM)),1,0)</f>
        <v>1</v>
      </c>
      <c r="AF11" s="39" t="n">
        <f aca="false">IF(AND(AE11=1,ISNUMBER(G11)),1,0)</f>
        <v>1</v>
      </c>
      <c r="AG11" s="39" t="n">
        <f aca="false">IF(AND(AE11=1,L11&gt;0),1,0)</f>
        <v>1</v>
      </c>
      <c r="AH11" s="40" t="n">
        <f aca="false">IF(AF11=1,G11,"")</f>
        <v>178</v>
      </c>
      <c r="AI11" s="39" t="str">
        <f aca="false">IF(COUNTIF($D$2:D11,D11)=1,MAX($AI$1:AI10)+1,"")</f>
        <v/>
      </c>
      <c r="AJ11" s="39" t="str">
        <f aca="false">IF(COUNTIF($P$2:P11,P11)=1,MAX($AJ$1:AJ10)+1,"")</f>
        <v/>
      </c>
      <c r="AK11" s="47" t="n">
        <f aca="false">IF(AG11=1,M11+ROW()/1000000000,"")</f>
        <v>4.18152175013043</v>
      </c>
      <c r="AL11" s="47" t="str">
        <f aca="false">IF(AND(AE11=1,I11&gt;0),I11+ROW()/1000000000,"")</f>
        <v/>
      </c>
      <c r="AM11" s="39" t="n">
        <f aca="false">IF(AND(AF11=1,ISNUMBER(W11),Z11="Dedicated"),1,0)</f>
        <v>0</v>
      </c>
      <c r="AN11" s="39" t="n">
        <f aca="false">SUM($AM$2:AM11)</f>
        <v>3</v>
      </c>
      <c r="AO11" s="39" t="n">
        <f aca="false">IF(AND(AF11=1,ISNUMBER(W11),Z11&lt;&gt;"Dedicated"),1,0)</f>
        <v>1</v>
      </c>
      <c r="AP11" s="39" t="n">
        <f aca="false">SUM($AO$2:AO11)</f>
        <v>5</v>
      </c>
      <c r="AQ11" s="39" t="n">
        <f aca="false">IF(AND(AF11=1,AG11=1),1,0)</f>
        <v>1</v>
      </c>
      <c r="AR11" s="39" t="n">
        <f aca="false">SUM($AQ$2:AQ11)</f>
        <v>10</v>
      </c>
      <c r="AS11" s="45" t="n">
        <f aca="false">IF(AQ11=1,G11,0)</f>
        <v>178</v>
      </c>
      <c r="AT11" s="45" t="n">
        <f aca="false">IF(AQ11=1,K11,0)</f>
        <v>4.1</v>
      </c>
      <c r="AU11" s="37" t="str">
        <f aca="false">TRIM(IF(Raw!N11="","weight missing; ","")&amp;IF(Raw!K11="","storage missing; ","")&amp;IF(ISNUMBER(FIND(" و ",Raw!K11)),"dual storage - SSD part used; ","")&amp;IF(ISNUMBER(SEARCH("TB",Raw!K11)),"storage written as TB; ","")&amp;IF(Raw!I11="","cpu missing; ","")&amp;IF(Raw!M11="","gpu missing; ","")&amp;IF(Raw!J11="","ram missing; ","")&amp;IF(Raw!L11="","screen missing; ",""))</f>
        <v/>
      </c>
    </row>
    <row r="12" customFormat="false" ht="15" hidden="false" customHeight="false" outlineLevel="0" collapsed="false">
      <c r="A12" s="39" t="n">
        <f aca="false">Raw!A12</f>
        <v>31158</v>
      </c>
      <c r="B12" s="37" t="str">
        <f aca="false">Raw!B12</f>
        <v>لپ تاپ ایسوس 15.6 اینچی مدل Vivobook 15 X1504VA i7 1355U 16GB 512GB</v>
      </c>
      <c r="C12" s="37" t="str">
        <f aca="false">LOWER(TRIM(Raw!C12))</f>
        <v>asus</v>
      </c>
      <c r="D12" s="37" t="str">
        <f aca="false">IFERROR(INDEX(Params!$B$5:$B$13,MATCH(C12,Params!$A$5:$A$13,0)),PROPER(C12))</f>
        <v>ASUS</v>
      </c>
      <c r="E12" s="37" t="str">
        <f aca="false">IF(Raw!F12,"Available","Out of stock")</f>
        <v>Available</v>
      </c>
      <c r="F12" s="43" t="n">
        <f aca="false">IF(Raw!D12="","",Raw!D12)</f>
        <v>199300000</v>
      </c>
      <c r="G12" s="40" t="n">
        <f aca="false">IF(ISNUMBER(F12),F12/1000000,"")</f>
        <v>199.3</v>
      </c>
      <c r="H12" s="43" t="str">
        <f aca="false">IF(Raw!E12="","",Raw!E12)</f>
        <v/>
      </c>
      <c r="I12" s="42" t="n">
        <f aca="false">IF(AND(ISNUMBER(H12),ISNUMBER(F12)),IF(H12&gt;F12,(H12-F12)/H12,0),0)</f>
        <v>0</v>
      </c>
      <c r="J12" s="39" t="n">
        <f aca="false">IF(I12&gt;0,1,0)</f>
        <v>0</v>
      </c>
      <c r="K12" s="45" t="n">
        <f aca="false">Raw!G12</f>
        <v>4.1</v>
      </c>
      <c r="L12" s="39" t="n">
        <f aca="false">Raw!H12</f>
        <v>50</v>
      </c>
      <c r="M12" s="41" t="n">
        <f aca="false">IF(L12&gt;0,(L12*K12+p_m*p_c)/(L12+p_m),"")</f>
        <v>4.1625</v>
      </c>
      <c r="N12" s="37" t="str">
        <f aca="false">IF(Raw!I12="","",TRIM(Raw!I12))</f>
        <v>Core i7 1355U</v>
      </c>
      <c r="O12" s="37" t="str">
        <f aca="false">IF(N12="","Unknown",IF(LEFT(N12,5)="Apple","Apple",IF(LEFT(N12,5)="Ryzen","AMD","Intel")))</f>
        <v>Intel</v>
      </c>
      <c r="P12" s="37" t="str">
        <f aca="false">IF(N12="","Unknown",IF(LEFT(N12,5)="Apple","Apple Silicon",IF(LEFT(N12,8)="Ryzen AI","Ryzen AI",TRIM(LEFT(N12,7)))))</f>
        <v>Core i7</v>
      </c>
      <c r="Q12" s="39" t="n">
        <f aca="false">IFERROR(VALUE(LEFT(Raw!J12,FIND(" ",Raw!J12)-1)),"")</f>
        <v>16</v>
      </c>
      <c r="R12" s="37" t="str">
        <f aca="false">IF(NOT(ISNUMBER(Q12)),"Unknown",IF(Q12&lt;=8,"≤ 8 GB",IF(Q12&lt;=16,"12–16 GB","20 GB +")))</f>
        <v>12–16 GB</v>
      </c>
      <c r="S12" s="37" t="str">
        <f aca="false">IF(Raw!K12="","",IF(ISNUMBER(FIND(" و ",Raw!K12)),TRIM(MID(Raw!K12,FIND(" و ",Raw!K12)+3,100)),TRIM(Raw!K12)))</f>
        <v>512 گیگابایت</v>
      </c>
      <c r="T12" s="43" t="n">
        <f aca="false">IF(S12="","",IFERROR(IFERROR(VALUE(LEFT(S12,FIND(" ",S12)-1)),VALUE(LEFT(S12,LEN(S12)-2)))*IF(OR(ISNUMBER(SEARCH("ترابایت",S12)),ISNUMBER(SEARCH("TB",S12))),1024,1),""))</f>
        <v>512</v>
      </c>
      <c r="U12" s="37" t="str">
        <f aca="false">IF(NOT(ISNUMBER(T12)),"Unknown",IF(T12&lt;=256,"≤ 256 GB",IF(T12&lt;=512,"512 GB","1 TB +")))</f>
        <v>512 GB</v>
      </c>
      <c r="V12" s="45" t="n">
        <f aca="false">IFERROR(VALUE(SUBSTITUTE(LEFT(Raw!L12,FIND(" ",Raw!L12)-1),".",MID(1/2,2,1))),"")</f>
        <v>15.6</v>
      </c>
      <c r="W12" s="41" t="n">
        <f aca="false">IFERROR(VALUE(SUBSTITUTE(LEFT(Raw!N12,FIND(" ",Raw!N12)-1),".",MID(1/2,2,1))),"")</f>
        <v>1.7</v>
      </c>
      <c r="X12" s="37" t="str">
        <f aca="false">IF(Raw!M12="","",TRIM(Raw!M12))</f>
        <v>Intel Intel Iris Xe</v>
      </c>
      <c r="Y12" s="37" t="str">
        <f aca="false">IF(X12="","Unknown",IF(ISNUMBER(SEARCH("nvidia",X12)),"NVIDIA",IF(ISNUMBER(SEARCH("amd",X12)),"AMD",IF(ISNUMBER(SEARCH("apple",X12)),"Apple",IF(ISNUMBER(SEARCH("intel",X12)),"Intel","Other")))))</f>
        <v>Intel</v>
      </c>
      <c r="Z12" s="37" t="str">
        <f aca="false">IF(X12="","Unknown",IF(ISNUMBER(SEARCH("RTX",X12))+ISNUMBER(SEARCH("GTX",X12))+ISNUMBER(SEARCH("nvidia",X12))+ISNUMBER(SEARCH("Radeon RX",X12))&gt;0,"Dedicated","Integrated"))</f>
        <v>Integrated</v>
      </c>
      <c r="AA12" s="37" t="str">
        <f aca="false">IF(ISNUMBER(SEARCH("RTX",X12)),TRIM(MID(X12,SEARCH("RTX",X12),8)),IF(X12="","Unknown",IF(Z12="Dedicated","Dedicated (model n/a)","Integrated")))</f>
        <v>Integrated</v>
      </c>
      <c r="AB12" s="37" t="str">
        <f aca="false">IF(ISNUMBER(G12),INDEX(Params!$E$5:$E$9,MATCH(G12,Params!$D$5:$D$9,1)),"Unknown")</f>
        <v>100–200 M</v>
      </c>
      <c r="AC12" s="45" t="n">
        <f aca="false">IF(AND(ISNUMBER(G12),ISNUMBER(Q12)),IF(Q12&gt;0,G12/Q12,""),"")</f>
        <v>12.45625</v>
      </c>
      <c r="AD12" s="39" t="n">
        <f aca="false">IF(OR(p_excl=0,ISNUMBER(SEARCH("لپ",B12))),1,0)</f>
        <v>1</v>
      </c>
      <c r="AE12" s="39" t="n">
        <f aca="false">IF(AND(AD12=1,OR(fBrand="All",D12=fBrand),OR(fCPU="All",O12=fCPU),OR(fGPU="All",Z12=fGPU),OR(fTier="All",AB12=fTier),OR(fRAM="All",R12=fRAM)),1,0)</f>
        <v>1</v>
      </c>
      <c r="AF12" s="39" t="n">
        <f aca="false">IF(AND(AE12=1,ISNUMBER(G12)),1,0)</f>
        <v>1</v>
      </c>
      <c r="AG12" s="39" t="n">
        <f aca="false">IF(AND(AE12=1,L12&gt;0),1,0)</f>
        <v>1</v>
      </c>
      <c r="AH12" s="40" t="n">
        <f aca="false">IF(AF12=1,G12,"")</f>
        <v>199.3</v>
      </c>
      <c r="AI12" s="39" t="str">
        <f aca="false">IF(COUNTIF($D$2:D12,D12)=1,MAX($AI$1:AI11)+1,"")</f>
        <v/>
      </c>
      <c r="AJ12" s="39" t="str">
        <f aca="false">IF(COUNTIF($P$2:P12,P12)=1,MAX($AJ$1:AJ11)+1,"")</f>
        <v/>
      </c>
      <c r="AK12" s="47" t="n">
        <f aca="false">IF(AG12=1,M12+ROW()/1000000000,"")</f>
        <v>4.162500012</v>
      </c>
      <c r="AL12" s="47" t="str">
        <f aca="false">IF(AND(AE12=1,I12&gt;0),I12+ROW()/1000000000,"")</f>
        <v/>
      </c>
      <c r="AM12" s="39" t="n">
        <f aca="false">IF(AND(AF12=1,ISNUMBER(W12),Z12="Dedicated"),1,0)</f>
        <v>0</v>
      </c>
      <c r="AN12" s="39" t="n">
        <f aca="false">SUM($AM$2:AM12)</f>
        <v>3</v>
      </c>
      <c r="AO12" s="39" t="n">
        <f aca="false">IF(AND(AF12=1,ISNUMBER(W12),Z12&lt;&gt;"Dedicated"),1,0)</f>
        <v>1</v>
      </c>
      <c r="AP12" s="39" t="n">
        <f aca="false">SUM($AO$2:AO12)</f>
        <v>6</v>
      </c>
      <c r="AQ12" s="39" t="n">
        <f aca="false">IF(AND(AF12=1,AG12=1),1,0)</f>
        <v>1</v>
      </c>
      <c r="AR12" s="39" t="n">
        <f aca="false">SUM($AQ$2:AQ12)</f>
        <v>11</v>
      </c>
      <c r="AS12" s="45" t="n">
        <f aca="false">IF(AQ12=1,G12,0)</f>
        <v>199.3</v>
      </c>
      <c r="AT12" s="45" t="n">
        <f aca="false">IF(AQ12=1,K12,0)</f>
        <v>4.1</v>
      </c>
      <c r="AU12" s="37" t="str">
        <f aca="false">TRIM(IF(Raw!N12="","weight missing; ","")&amp;IF(Raw!K12="","storage missing; ","")&amp;IF(ISNUMBER(FIND(" و ",Raw!K12)),"dual storage - SSD part used; ","")&amp;IF(ISNUMBER(SEARCH("TB",Raw!K12)),"storage written as TB; ","")&amp;IF(Raw!I12="","cpu missing; ","")&amp;IF(Raw!M12="","gpu missing; ","")&amp;IF(Raw!J12="","ram missing; ","")&amp;IF(Raw!L12="","screen missing; ",""))</f>
        <v/>
      </c>
    </row>
    <row r="13" customFormat="false" ht="15" hidden="false" customHeight="false" outlineLevel="0" collapsed="false">
      <c r="A13" s="39" t="n">
        <f aca="false">Raw!A13</f>
        <v>382470</v>
      </c>
      <c r="B13" s="37" t="str">
        <f aca="false">Raw!B13</f>
        <v>لپ تاپ ایسوس 15.6 اینچی مدل Vivobook X1504VA Core 7 ۱۵۰U 24GB 1TB</v>
      </c>
      <c r="C13" s="37" t="str">
        <f aca="false">LOWER(TRIM(Raw!C13))</f>
        <v>asus</v>
      </c>
      <c r="D13" s="37" t="str">
        <f aca="false">IFERROR(INDEX(Params!$B$5:$B$13,MATCH(C13,Params!$A$5:$A$13,0)),PROPER(C13))</f>
        <v>ASUS</v>
      </c>
      <c r="E13" s="37" t="str">
        <f aca="false">IF(Raw!F13,"Available","Out of stock")</f>
        <v>Available</v>
      </c>
      <c r="F13" s="43" t="n">
        <f aca="false">IF(Raw!D13="","",Raw!D13)</f>
        <v>225500000</v>
      </c>
      <c r="G13" s="40" t="n">
        <f aca="false">IF(ISNUMBER(F13),F13/1000000,"")</f>
        <v>225.5</v>
      </c>
      <c r="H13" s="43" t="str">
        <f aca="false">IF(Raw!E13="","",Raw!E13)</f>
        <v/>
      </c>
      <c r="I13" s="42" t="n">
        <f aca="false">IF(AND(ISNUMBER(H13),ISNUMBER(F13)),IF(H13&gt;F13,(H13-F13)/H13,0),0)</f>
        <v>0</v>
      </c>
      <c r="J13" s="39" t="n">
        <f aca="false">IF(I13&gt;0,1,0)</f>
        <v>0</v>
      </c>
      <c r="K13" s="45" t="n">
        <f aca="false">Raw!G13</f>
        <v>5</v>
      </c>
      <c r="L13" s="39" t="n">
        <f aca="false">Raw!H13</f>
        <v>1</v>
      </c>
      <c r="M13" s="41" t="n">
        <f aca="false">IF(L13&gt;0,(L13*K13+p_m*p_c)/(L13+p_m),"")</f>
        <v>4.52272727272727</v>
      </c>
      <c r="N13" s="37" t="str">
        <f aca="false">IF(Raw!I13="","",TRIM(Raw!I13))</f>
        <v>Core 7 150U</v>
      </c>
      <c r="O13" s="37" t="str">
        <f aca="false">IF(N13="","Unknown",IF(LEFT(N13,5)="Apple","Apple",IF(LEFT(N13,5)="Ryzen","AMD","Intel")))</f>
        <v>Intel</v>
      </c>
      <c r="P13" s="37" t="str">
        <f aca="false">IF(N13="","Unknown",IF(LEFT(N13,5)="Apple","Apple Silicon",IF(LEFT(N13,8)="Ryzen AI","Ryzen AI",TRIM(LEFT(N13,7)))))</f>
        <v>Core 7</v>
      </c>
      <c r="Q13" s="39" t="n">
        <f aca="false">IFERROR(VALUE(LEFT(Raw!J13,FIND(" ",Raw!J13)-1)),"")</f>
        <v>24</v>
      </c>
      <c r="R13" s="37" t="str">
        <f aca="false">IF(NOT(ISNUMBER(Q13)),"Unknown",IF(Q13&lt;=8,"≤ 8 GB",IF(Q13&lt;=16,"12–16 GB","20 GB +")))</f>
        <v>20 GB +</v>
      </c>
      <c r="S13" s="37" t="str">
        <f aca="false">IF(Raw!K13="","",IF(ISNUMBER(FIND(" و ",Raw!K13)),TRIM(MID(Raw!K13,FIND(" و ",Raw!K13)+3,100)),TRIM(Raw!K13)))</f>
        <v>1 ترابایت</v>
      </c>
      <c r="T13" s="43" t="n">
        <f aca="false">IF(S13="","",IFERROR(IFERROR(VALUE(LEFT(S13,FIND(" ",S13)-1)),VALUE(LEFT(S13,LEN(S13)-2)))*IF(OR(ISNUMBER(SEARCH("ترابایت",S13)),ISNUMBER(SEARCH("TB",S13))),1024,1),""))</f>
        <v>1024</v>
      </c>
      <c r="U13" s="37" t="str">
        <f aca="false">IF(NOT(ISNUMBER(T13)),"Unknown",IF(T13&lt;=256,"≤ 256 GB",IF(T13&lt;=512,"512 GB","1 TB +")))</f>
        <v>1 TB +</v>
      </c>
      <c r="V13" s="45" t="n">
        <f aca="false">IFERROR(VALUE(SUBSTITUTE(LEFT(Raw!L13,FIND(" ",Raw!L13)-1),".",MID(1/2,2,1))),"")</f>
        <v>15.6</v>
      </c>
      <c r="W13" s="41" t="n">
        <f aca="false">IFERROR(VALUE(SUBSTITUTE(LEFT(Raw!N13,FIND(" ",Raw!N13)-1),".",MID(1/2,2,1))),"")</f>
        <v>1.7</v>
      </c>
      <c r="X13" s="37" t="str">
        <f aca="false">IF(Raw!M13="","",TRIM(Raw!M13))</f>
        <v>Intel</v>
      </c>
      <c r="Y13" s="37" t="str">
        <f aca="false">IF(X13="","Unknown",IF(ISNUMBER(SEARCH("nvidia",X13)),"NVIDIA",IF(ISNUMBER(SEARCH("amd",X13)),"AMD",IF(ISNUMBER(SEARCH("apple",X13)),"Apple",IF(ISNUMBER(SEARCH("intel",X13)),"Intel","Other")))))</f>
        <v>Intel</v>
      </c>
      <c r="Z13" s="37" t="str">
        <f aca="false">IF(X13="","Unknown",IF(ISNUMBER(SEARCH("RTX",X13))+ISNUMBER(SEARCH("GTX",X13))+ISNUMBER(SEARCH("nvidia",X13))+ISNUMBER(SEARCH("Radeon RX",X13))&gt;0,"Dedicated","Integrated"))</f>
        <v>Integrated</v>
      </c>
      <c r="AA13" s="37" t="str">
        <f aca="false">IF(ISNUMBER(SEARCH("RTX",X13)),TRIM(MID(X13,SEARCH("RTX",X13),8)),IF(X13="","Unknown",IF(Z13="Dedicated","Dedicated (model n/a)","Integrated")))</f>
        <v>Integrated</v>
      </c>
      <c r="AB13" s="37" t="str">
        <f aca="false">IF(ISNUMBER(G13),INDEX(Params!$E$5:$E$9,MATCH(G13,Params!$D$5:$D$9,1)),"Unknown")</f>
        <v>200–300 M</v>
      </c>
      <c r="AC13" s="45" t="n">
        <f aca="false">IF(AND(ISNUMBER(G13),ISNUMBER(Q13)),IF(Q13&gt;0,G13/Q13,""),"")</f>
        <v>9.39583333333333</v>
      </c>
      <c r="AD13" s="39" t="n">
        <f aca="false">IF(OR(p_excl=0,ISNUMBER(SEARCH("لپ",B13))),1,0)</f>
        <v>1</v>
      </c>
      <c r="AE13" s="39" t="n">
        <f aca="false">IF(AND(AD13=1,OR(fBrand="All",D13=fBrand),OR(fCPU="All",O13=fCPU),OR(fGPU="All",Z13=fGPU),OR(fTier="All",AB13=fTier),OR(fRAM="All",R13=fRAM)),1,0)</f>
        <v>1</v>
      </c>
      <c r="AF13" s="39" t="n">
        <f aca="false">IF(AND(AE13=1,ISNUMBER(G13)),1,0)</f>
        <v>1</v>
      </c>
      <c r="AG13" s="39" t="n">
        <f aca="false">IF(AND(AE13=1,L13&gt;0),1,0)</f>
        <v>1</v>
      </c>
      <c r="AH13" s="40" t="n">
        <f aca="false">IF(AF13=1,G13,"")</f>
        <v>225.5</v>
      </c>
      <c r="AI13" s="39" t="str">
        <f aca="false">IF(COUNTIF($D$2:D13,D13)=1,MAX($AI$1:AI12)+1,"")</f>
        <v/>
      </c>
      <c r="AJ13" s="39" t="str">
        <f aca="false">IF(COUNTIF($P$2:P13,P13)=1,MAX($AJ$1:AJ12)+1,"")</f>
        <v/>
      </c>
      <c r="AK13" s="47" t="n">
        <f aca="false">IF(AG13=1,M13+ROW()/1000000000,"")</f>
        <v>4.52272728572727</v>
      </c>
      <c r="AL13" s="47" t="str">
        <f aca="false">IF(AND(AE13=1,I13&gt;0),I13+ROW()/1000000000,"")</f>
        <v/>
      </c>
      <c r="AM13" s="39" t="n">
        <f aca="false">IF(AND(AF13=1,ISNUMBER(W13),Z13="Dedicated"),1,0)</f>
        <v>0</v>
      </c>
      <c r="AN13" s="39" t="n">
        <f aca="false">SUM($AM$2:AM13)</f>
        <v>3</v>
      </c>
      <c r="AO13" s="39" t="n">
        <f aca="false">IF(AND(AF13=1,ISNUMBER(W13),Z13&lt;&gt;"Dedicated"),1,0)</f>
        <v>1</v>
      </c>
      <c r="AP13" s="39" t="n">
        <f aca="false">SUM($AO$2:AO13)</f>
        <v>7</v>
      </c>
      <c r="AQ13" s="39" t="n">
        <f aca="false">IF(AND(AF13=1,AG13=1),1,0)</f>
        <v>1</v>
      </c>
      <c r="AR13" s="39" t="n">
        <f aca="false">SUM($AQ$2:AQ13)</f>
        <v>12</v>
      </c>
      <c r="AS13" s="45" t="n">
        <f aca="false">IF(AQ13=1,G13,0)</f>
        <v>225.5</v>
      </c>
      <c r="AT13" s="45" t="n">
        <f aca="false">IF(AQ13=1,K13,0)</f>
        <v>5</v>
      </c>
      <c r="AU13" s="37" t="str">
        <f aca="false">TRIM(IF(Raw!N13="","weight missing; ","")&amp;IF(Raw!K13="","storage missing; ","")&amp;IF(ISNUMBER(FIND(" و ",Raw!K13)),"dual storage - SSD part used; ","")&amp;IF(ISNUMBER(SEARCH("TB",Raw!K13)),"storage written as TB; ","")&amp;IF(Raw!I13="","cpu missing; ","")&amp;IF(Raw!M13="","gpu missing; ","")&amp;IF(Raw!J13="","ram missing; ","")&amp;IF(Raw!L13="","screen missing; ",""))</f>
        <v/>
      </c>
    </row>
    <row r="14" customFormat="false" ht="15" hidden="false" customHeight="false" outlineLevel="0" collapsed="false">
      <c r="A14" s="39" t="n">
        <f aca="false">Raw!A14</f>
        <v>60364</v>
      </c>
      <c r="B14" s="37" t="str">
        <f aca="false">Raw!B14</f>
        <v>لپ تاپ لنوو 15.6 اینچی مدل IdeaPad Slim 3 i3 1315U 8GB 256GB</v>
      </c>
      <c r="C14" s="37" t="str">
        <f aca="false">LOWER(TRIM(Raw!C14))</f>
        <v>lenovo</v>
      </c>
      <c r="D14" s="37" t="str">
        <f aca="false">IFERROR(INDEX(Params!$B$5:$B$13,MATCH(C14,Params!$A$5:$A$13,0)),PROPER(C14))</f>
        <v>Lenovo</v>
      </c>
      <c r="E14" s="37" t="str">
        <f aca="false">IF(Raw!F14,"Available","Out of stock")</f>
        <v>Available</v>
      </c>
      <c r="F14" s="43" t="n">
        <f aca="false">IF(Raw!D14="","",Raw!D14)</f>
        <v>117999000</v>
      </c>
      <c r="G14" s="40" t="n">
        <f aca="false">IF(ISNUMBER(F14),F14/1000000,"")</f>
        <v>117.999</v>
      </c>
      <c r="H14" s="43" t="n">
        <f aca="false">IF(Raw!E14="","",Raw!E14)</f>
        <v>120000000</v>
      </c>
      <c r="I14" s="42" t="n">
        <f aca="false">IF(AND(ISNUMBER(H14),ISNUMBER(F14)),IF(H14&gt;F14,(H14-F14)/H14,0),0)</f>
        <v>0.016675</v>
      </c>
      <c r="J14" s="39" t="n">
        <f aca="false">IF(I14&gt;0,1,0)</f>
        <v>1</v>
      </c>
      <c r="K14" s="45" t="n">
        <f aca="false">Raw!G14</f>
        <v>3.7</v>
      </c>
      <c r="L14" s="39" t="n">
        <f aca="false">Raw!H14</f>
        <v>30</v>
      </c>
      <c r="M14" s="41" t="n">
        <f aca="false">IF(L14&gt;0,(L14*K14+p_m*p_c)/(L14+p_m),"")</f>
        <v>3.89375</v>
      </c>
      <c r="N14" s="37" t="str">
        <f aca="false">IF(Raw!I14="","",TRIM(Raw!I14))</f>
        <v>Core i3 1315U</v>
      </c>
      <c r="O14" s="37" t="str">
        <f aca="false">IF(N14="","Unknown",IF(LEFT(N14,5)="Apple","Apple",IF(LEFT(N14,5)="Ryzen","AMD","Intel")))</f>
        <v>Intel</v>
      </c>
      <c r="P14" s="37" t="str">
        <f aca="false">IF(N14="","Unknown",IF(LEFT(N14,5)="Apple","Apple Silicon",IF(LEFT(N14,8)="Ryzen AI","Ryzen AI",TRIM(LEFT(N14,7)))))</f>
        <v>Core i3</v>
      </c>
      <c r="Q14" s="39" t="n">
        <f aca="false">IFERROR(VALUE(LEFT(Raw!J14,FIND(" ",Raw!J14)-1)),"")</f>
        <v>8</v>
      </c>
      <c r="R14" s="37" t="str">
        <f aca="false">IF(NOT(ISNUMBER(Q14)),"Unknown",IF(Q14&lt;=8,"≤ 8 GB",IF(Q14&lt;=16,"12–16 GB","20 GB +")))</f>
        <v>≤ 8 GB</v>
      </c>
      <c r="S14" s="37" t="str">
        <f aca="false">IF(Raw!K14="","",IF(ISNUMBER(FIND(" و ",Raw!K14)),TRIM(MID(Raw!K14,FIND(" و ",Raw!K14)+3,100)),TRIM(Raw!K14)))</f>
        <v>256 گیگابایت</v>
      </c>
      <c r="T14" s="43" t="n">
        <f aca="false">IF(S14="","",IFERROR(IFERROR(VALUE(LEFT(S14,FIND(" ",S14)-1)),VALUE(LEFT(S14,LEN(S14)-2)))*IF(OR(ISNUMBER(SEARCH("ترابایت",S14)),ISNUMBER(SEARCH("TB",S14))),1024,1),""))</f>
        <v>256</v>
      </c>
      <c r="U14" s="37" t="str">
        <f aca="false">IF(NOT(ISNUMBER(T14)),"Unknown",IF(T14&lt;=256,"≤ 256 GB",IF(T14&lt;=512,"512 GB","1 TB +")))</f>
        <v>≤ 256 GB</v>
      </c>
      <c r="V14" s="45" t="n">
        <f aca="false">IFERROR(VALUE(SUBSTITUTE(LEFT(Raw!L14,FIND(" ",Raw!L14)-1),".",MID(1/2,2,1))),"")</f>
        <v>15.6</v>
      </c>
      <c r="W14" s="41" t="n">
        <f aca="false">IFERROR(VALUE(SUBSTITUTE(LEFT(Raw!N14,FIND(" ",Raw!N14)-1),".",MID(1/2,2,1))),"")</f>
        <v>1.6</v>
      </c>
      <c r="X14" s="37" t="str">
        <f aca="false">IF(Raw!M14="","",TRIM(Raw!M14))</f>
        <v>Intel UHD Graphics</v>
      </c>
      <c r="Y14" s="37" t="str">
        <f aca="false">IF(X14="","Unknown",IF(ISNUMBER(SEARCH("nvidia",X14)),"NVIDIA",IF(ISNUMBER(SEARCH("amd",X14)),"AMD",IF(ISNUMBER(SEARCH("apple",X14)),"Apple",IF(ISNUMBER(SEARCH("intel",X14)),"Intel","Other")))))</f>
        <v>Intel</v>
      </c>
      <c r="Z14" s="37" t="str">
        <f aca="false">IF(X14="","Unknown",IF(ISNUMBER(SEARCH("RTX",X14))+ISNUMBER(SEARCH("GTX",X14))+ISNUMBER(SEARCH("nvidia",X14))+ISNUMBER(SEARCH("Radeon RX",X14))&gt;0,"Dedicated","Integrated"))</f>
        <v>Integrated</v>
      </c>
      <c r="AA14" s="37" t="str">
        <f aca="false">IF(ISNUMBER(SEARCH("RTX",X14)),TRIM(MID(X14,SEARCH("RTX",X14),8)),IF(X14="","Unknown",IF(Z14="Dedicated","Dedicated (model n/a)","Integrated")))</f>
        <v>Integrated</v>
      </c>
      <c r="AB14" s="37" t="str">
        <f aca="false">IF(ISNUMBER(G14),INDEX(Params!$E$5:$E$9,MATCH(G14,Params!$D$5:$D$9,1)),"Unknown")</f>
        <v>100–200 M</v>
      </c>
      <c r="AC14" s="45" t="n">
        <f aca="false">IF(AND(ISNUMBER(G14),ISNUMBER(Q14)),IF(Q14&gt;0,G14/Q14,""),"")</f>
        <v>14.749875</v>
      </c>
      <c r="AD14" s="39" t="n">
        <f aca="false">IF(OR(p_excl=0,ISNUMBER(SEARCH("لپ",B14))),1,0)</f>
        <v>1</v>
      </c>
      <c r="AE14" s="39" t="n">
        <f aca="false">IF(AND(AD14=1,OR(fBrand="All",D14=fBrand),OR(fCPU="All",O14=fCPU),OR(fGPU="All",Z14=fGPU),OR(fTier="All",AB14=fTier),OR(fRAM="All",R14=fRAM)),1,0)</f>
        <v>1</v>
      </c>
      <c r="AF14" s="39" t="n">
        <f aca="false">IF(AND(AE14=1,ISNUMBER(G14)),1,0)</f>
        <v>1</v>
      </c>
      <c r="AG14" s="39" t="n">
        <f aca="false">IF(AND(AE14=1,L14&gt;0),1,0)</f>
        <v>1</v>
      </c>
      <c r="AH14" s="40" t="n">
        <f aca="false">IF(AF14=1,G14,"")</f>
        <v>117.999</v>
      </c>
      <c r="AI14" s="39" t="str">
        <f aca="false">IF(COUNTIF($D$2:D14,D14)=1,MAX($AI$1:AI13)+1,"")</f>
        <v/>
      </c>
      <c r="AJ14" s="39" t="str">
        <f aca="false">IF(COUNTIF($P$2:P14,P14)=1,MAX($AJ$1:AJ13)+1,"")</f>
        <v/>
      </c>
      <c r="AK14" s="47" t="n">
        <f aca="false">IF(AG14=1,M14+ROW()/1000000000,"")</f>
        <v>3.893750014</v>
      </c>
      <c r="AL14" s="47" t="n">
        <f aca="false">IF(AND(AE14=1,I14&gt;0),I14+ROW()/1000000000,"")</f>
        <v>0.016675014</v>
      </c>
      <c r="AM14" s="39" t="n">
        <f aca="false">IF(AND(AF14=1,ISNUMBER(W14),Z14="Dedicated"),1,0)</f>
        <v>0</v>
      </c>
      <c r="AN14" s="39" t="n">
        <f aca="false">SUM($AM$2:AM14)</f>
        <v>3</v>
      </c>
      <c r="AO14" s="39" t="n">
        <f aca="false">IF(AND(AF14=1,ISNUMBER(W14),Z14&lt;&gt;"Dedicated"),1,0)</f>
        <v>1</v>
      </c>
      <c r="AP14" s="39" t="n">
        <f aca="false">SUM($AO$2:AO14)</f>
        <v>8</v>
      </c>
      <c r="AQ14" s="39" t="n">
        <f aca="false">IF(AND(AF14=1,AG14=1),1,0)</f>
        <v>1</v>
      </c>
      <c r="AR14" s="39" t="n">
        <f aca="false">SUM($AQ$2:AQ14)</f>
        <v>13</v>
      </c>
      <c r="AS14" s="45" t="n">
        <f aca="false">IF(AQ14=1,G14,0)</f>
        <v>117.999</v>
      </c>
      <c r="AT14" s="45" t="n">
        <f aca="false">IF(AQ14=1,K14,0)</f>
        <v>3.7</v>
      </c>
      <c r="AU14" s="37" t="str">
        <f aca="false">TRIM(IF(Raw!N14="","weight missing; ","")&amp;IF(Raw!K14="","storage missing; ","")&amp;IF(ISNUMBER(FIND(" و ",Raw!K14)),"dual storage - SSD part used; ","")&amp;IF(ISNUMBER(SEARCH("TB",Raw!K14)),"storage written as TB; ","")&amp;IF(Raw!I14="","cpu missing; ","")&amp;IF(Raw!M14="","gpu missing; ","")&amp;IF(Raw!J14="","ram missing; ","")&amp;IF(Raw!L14="","screen missing; ",""))</f>
        <v/>
      </c>
    </row>
    <row r="15" customFormat="false" ht="15" hidden="false" customHeight="false" outlineLevel="0" collapsed="false">
      <c r="A15" s="39" t="n">
        <f aca="false">Raw!A15</f>
        <v>594208</v>
      </c>
      <c r="B15" s="37" t="str">
        <f aca="false">Raw!B15</f>
        <v>لپ تاپ ایسوس 15.6 اینچی مدل Vivobook F1504VA Core 5 120U 16GB 512GB</v>
      </c>
      <c r="C15" s="37" t="str">
        <f aca="false">LOWER(TRIM(Raw!C15))</f>
        <v>asus</v>
      </c>
      <c r="D15" s="37" t="str">
        <f aca="false">IFERROR(INDEX(Params!$B$5:$B$13,MATCH(C15,Params!$A$5:$A$13,0)),PROPER(C15))</f>
        <v>ASUS</v>
      </c>
      <c r="E15" s="37" t="str">
        <f aca="false">IF(Raw!F15,"Available","Out of stock")</f>
        <v>Available</v>
      </c>
      <c r="F15" s="43" t="n">
        <f aca="false">IF(Raw!D15="","",Raw!D15)</f>
        <v>181000000</v>
      </c>
      <c r="G15" s="40" t="n">
        <f aca="false">IF(ISNUMBER(F15),F15/1000000,"")</f>
        <v>181</v>
      </c>
      <c r="H15" s="43" t="str">
        <f aca="false">IF(Raw!E15="","",Raw!E15)</f>
        <v/>
      </c>
      <c r="I15" s="42" t="n">
        <f aca="false">IF(AND(ISNUMBER(H15),ISNUMBER(F15)),IF(H15&gt;F15,(H15-F15)/H15,0),0)</f>
        <v>0</v>
      </c>
      <c r="J15" s="39" t="n">
        <f aca="false">IF(I15&gt;0,1,0)</f>
        <v>0</v>
      </c>
      <c r="K15" s="45" t="n">
        <f aca="false">Raw!G15</f>
        <v>5</v>
      </c>
      <c r="L15" s="39" t="n">
        <f aca="false">Raw!H15</f>
        <v>1</v>
      </c>
      <c r="M15" s="41" t="n">
        <f aca="false">IF(L15&gt;0,(L15*K15+p_m*p_c)/(L15+p_m),"")</f>
        <v>4.52272727272727</v>
      </c>
      <c r="N15" s="37" t="str">
        <f aca="false">IF(Raw!I15="","",TRIM(Raw!I15))</f>
        <v>Core 5 120U</v>
      </c>
      <c r="O15" s="37" t="str">
        <f aca="false">IF(N15="","Unknown",IF(LEFT(N15,5)="Apple","Apple",IF(LEFT(N15,5)="Ryzen","AMD","Intel")))</f>
        <v>Intel</v>
      </c>
      <c r="P15" s="37" t="str">
        <f aca="false">IF(N15="","Unknown",IF(LEFT(N15,5)="Apple","Apple Silicon",IF(LEFT(N15,8)="Ryzen AI","Ryzen AI",TRIM(LEFT(N15,7)))))</f>
        <v>Core 5</v>
      </c>
      <c r="Q15" s="39" t="n">
        <f aca="false">IFERROR(VALUE(LEFT(Raw!J15,FIND(" ",Raw!J15)-1)),"")</f>
        <v>16</v>
      </c>
      <c r="R15" s="37" t="str">
        <f aca="false">IF(NOT(ISNUMBER(Q15)),"Unknown",IF(Q15&lt;=8,"≤ 8 GB",IF(Q15&lt;=16,"12–16 GB","20 GB +")))</f>
        <v>12–16 GB</v>
      </c>
      <c r="S15" s="37" t="str">
        <f aca="false">IF(Raw!K15="","",IF(ISNUMBER(FIND(" و ",Raw!K15)),TRIM(MID(Raw!K15,FIND(" و ",Raw!K15)+3,100)),TRIM(Raw!K15)))</f>
        <v>512 گیگابایت</v>
      </c>
      <c r="T15" s="43" t="n">
        <f aca="false">IF(S15="","",IFERROR(IFERROR(VALUE(LEFT(S15,FIND(" ",S15)-1)),VALUE(LEFT(S15,LEN(S15)-2)))*IF(OR(ISNUMBER(SEARCH("ترابایت",S15)),ISNUMBER(SEARCH("TB",S15))),1024,1),""))</f>
        <v>512</v>
      </c>
      <c r="U15" s="37" t="str">
        <f aca="false">IF(NOT(ISNUMBER(T15)),"Unknown",IF(T15&lt;=256,"≤ 256 GB",IF(T15&lt;=512,"512 GB","1 TB +")))</f>
        <v>512 GB</v>
      </c>
      <c r="V15" s="45" t="n">
        <f aca="false">IFERROR(VALUE(SUBSTITUTE(LEFT(Raw!L15,FIND(" ",Raw!L15)-1),".",MID(1/2,2,1))),"")</f>
        <v>15.6</v>
      </c>
      <c r="W15" s="41" t="n">
        <f aca="false">IFERROR(VALUE(SUBSTITUTE(LEFT(Raw!N15,FIND(" ",Raw!N15)-1),".",MID(1/2,2,1))),"")</f>
        <v>1.7</v>
      </c>
      <c r="X15" s="37" t="str">
        <f aca="false">IF(Raw!M15="","",TRIM(Raw!M15))</f>
        <v>Intel</v>
      </c>
      <c r="Y15" s="37" t="str">
        <f aca="false">IF(X15="","Unknown",IF(ISNUMBER(SEARCH("nvidia",X15)),"NVIDIA",IF(ISNUMBER(SEARCH("amd",X15)),"AMD",IF(ISNUMBER(SEARCH("apple",X15)),"Apple",IF(ISNUMBER(SEARCH("intel",X15)),"Intel","Other")))))</f>
        <v>Intel</v>
      </c>
      <c r="Z15" s="37" t="str">
        <f aca="false">IF(X15="","Unknown",IF(ISNUMBER(SEARCH("RTX",X15))+ISNUMBER(SEARCH("GTX",X15))+ISNUMBER(SEARCH("nvidia",X15))+ISNUMBER(SEARCH("Radeon RX",X15))&gt;0,"Dedicated","Integrated"))</f>
        <v>Integrated</v>
      </c>
      <c r="AA15" s="37" t="str">
        <f aca="false">IF(ISNUMBER(SEARCH("RTX",X15)),TRIM(MID(X15,SEARCH("RTX",X15),8)),IF(X15="","Unknown",IF(Z15="Dedicated","Dedicated (model n/a)","Integrated")))</f>
        <v>Integrated</v>
      </c>
      <c r="AB15" s="37" t="str">
        <f aca="false">IF(ISNUMBER(G15),INDEX(Params!$E$5:$E$9,MATCH(G15,Params!$D$5:$D$9,1)),"Unknown")</f>
        <v>100–200 M</v>
      </c>
      <c r="AC15" s="45" t="n">
        <f aca="false">IF(AND(ISNUMBER(G15),ISNUMBER(Q15)),IF(Q15&gt;0,G15/Q15,""),"")</f>
        <v>11.3125</v>
      </c>
      <c r="AD15" s="39" t="n">
        <f aca="false">IF(OR(p_excl=0,ISNUMBER(SEARCH("لپ",B15))),1,0)</f>
        <v>1</v>
      </c>
      <c r="AE15" s="39" t="n">
        <f aca="false">IF(AND(AD15=1,OR(fBrand="All",D15=fBrand),OR(fCPU="All",O15=fCPU),OR(fGPU="All",Z15=fGPU),OR(fTier="All",AB15=fTier),OR(fRAM="All",R15=fRAM)),1,0)</f>
        <v>1</v>
      </c>
      <c r="AF15" s="39" t="n">
        <f aca="false">IF(AND(AE15=1,ISNUMBER(G15)),1,0)</f>
        <v>1</v>
      </c>
      <c r="AG15" s="39" t="n">
        <f aca="false">IF(AND(AE15=1,L15&gt;0),1,0)</f>
        <v>1</v>
      </c>
      <c r="AH15" s="40" t="n">
        <f aca="false">IF(AF15=1,G15,"")</f>
        <v>181</v>
      </c>
      <c r="AI15" s="39" t="str">
        <f aca="false">IF(COUNTIF($D$2:D15,D15)=1,MAX($AI$1:AI14)+1,"")</f>
        <v/>
      </c>
      <c r="AJ15" s="39" t="n">
        <f aca="false">IF(COUNTIF($P$2:P15,P15)=1,MAX($AJ$1:AJ14)+1,"")</f>
        <v>6</v>
      </c>
      <c r="AK15" s="47" t="n">
        <f aca="false">IF(AG15=1,M15+ROW()/1000000000,"")</f>
        <v>4.52272728772727</v>
      </c>
      <c r="AL15" s="47" t="str">
        <f aca="false">IF(AND(AE15=1,I15&gt;0),I15+ROW()/1000000000,"")</f>
        <v/>
      </c>
      <c r="AM15" s="39" t="n">
        <f aca="false">IF(AND(AF15=1,ISNUMBER(W15),Z15="Dedicated"),1,0)</f>
        <v>0</v>
      </c>
      <c r="AN15" s="39" t="n">
        <f aca="false">SUM($AM$2:AM15)</f>
        <v>3</v>
      </c>
      <c r="AO15" s="39" t="n">
        <f aca="false">IF(AND(AF15=1,ISNUMBER(W15),Z15&lt;&gt;"Dedicated"),1,0)</f>
        <v>1</v>
      </c>
      <c r="AP15" s="39" t="n">
        <f aca="false">SUM($AO$2:AO15)</f>
        <v>9</v>
      </c>
      <c r="AQ15" s="39" t="n">
        <f aca="false">IF(AND(AF15=1,AG15=1),1,0)</f>
        <v>1</v>
      </c>
      <c r="AR15" s="39" t="n">
        <f aca="false">SUM($AQ$2:AQ15)</f>
        <v>14</v>
      </c>
      <c r="AS15" s="45" t="n">
        <f aca="false">IF(AQ15=1,G15,0)</f>
        <v>181</v>
      </c>
      <c r="AT15" s="45" t="n">
        <f aca="false">IF(AQ15=1,K15,0)</f>
        <v>5</v>
      </c>
      <c r="AU15" s="37" t="str">
        <f aca="false">TRIM(IF(Raw!N15="","weight missing; ","")&amp;IF(Raw!K15="","storage missing; ","")&amp;IF(ISNUMBER(FIND(" و ",Raw!K15)),"dual storage - SSD part used; ","")&amp;IF(ISNUMBER(SEARCH("TB",Raw!K15)),"storage written as TB; ","")&amp;IF(Raw!I15="","cpu missing; ","")&amp;IF(Raw!M15="","gpu missing; ","")&amp;IF(Raw!J15="","ram missing; ","")&amp;IF(Raw!L15="","screen missing; ",""))</f>
        <v/>
      </c>
    </row>
    <row r="16" customFormat="false" ht="15" hidden="false" customHeight="false" outlineLevel="0" collapsed="false">
      <c r="A16" s="39" t="n">
        <f aca="false">Raw!A16</f>
        <v>435739</v>
      </c>
      <c r="B16" s="37" t="str">
        <f aca="false">Raw!B16</f>
        <v>لپ تاپ 13 اینچی اپل مدل MacBook Neo A18 Pro 2026 8GB 512GB</v>
      </c>
      <c r="C16" s="37" t="str">
        <f aca="false">LOWER(TRIM(Raw!C16))</f>
        <v>apple</v>
      </c>
      <c r="D16" s="37" t="str">
        <f aca="false">IFERROR(INDEX(Params!$B$5:$B$13,MATCH(C16,Params!$A$5:$A$13,0)),PROPER(C16))</f>
        <v>Apple</v>
      </c>
      <c r="E16" s="37" t="str">
        <f aca="false">IF(Raw!F16,"Available","Out of stock")</f>
        <v>Available</v>
      </c>
      <c r="F16" s="43" t="n">
        <f aca="false">IF(Raw!D16="","",Raw!D16)</f>
        <v>245730000</v>
      </c>
      <c r="G16" s="40" t="n">
        <f aca="false">IF(ISNUMBER(F16),F16/1000000,"")</f>
        <v>245.73</v>
      </c>
      <c r="H16" s="43" t="str">
        <f aca="false">IF(Raw!E16="","",Raw!E16)</f>
        <v/>
      </c>
      <c r="I16" s="42" t="n">
        <f aca="false">IF(AND(ISNUMBER(H16),ISNUMBER(F16)),IF(H16&gt;F16,(H16-F16)/H16,0),0)</f>
        <v>0</v>
      </c>
      <c r="J16" s="39" t="n">
        <f aca="false">IF(I16&gt;0,1,0)</f>
        <v>0</v>
      </c>
      <c r="K16" s="45" t="n">
        <f aca="false">Raw!G16</f>
        <v>4.5</v>
      </c>
      <c r="L16" s="39" t="n">
        <f aca="false">Raw!H16</f>
        <v>2</v>
      </c>
      <c r="M16" s="41" t="n">
        <f aca="false">IF(L16&gt;0,(L16*K16+p_m*p_c)/(L16+p_m),"")</f>
        <v>4.47916666666667</v>
      </c>
      <c r="N16" s="37" t="str">
        <f aca="false">IF(Raw!I16="","",TRIM(Raw!I16))</f>
        <v>Apple A18 Pro</v>
      </c>
      <c r="O16" s="37" t="str">
        <f aca="false">IF(N16="","Unknown",IF(LEFT(N16,5)="Apple","Apple",IF(LEFT(N16,5)="Ryzen","AMD","Intel")))</f>
        <v>Apple</v>
      </c>
      <c r="P16" s="37" t="str">
        <f aca="false">IF(N16="","Unknown",IF(LEFT(N16,5)="Apple","Apple Silicon",IF(LEFT(N16,8)="Ryzen AI","Ryzen AI",TRIM(LEFT(N16,7)))))</f>
        <v>Apple Silicon</v>
      </c>
      <c r="Q16" s="39" t="n">
        <f aca="false">IFERROR(VALUE(LEFT(Raw!J16,FIND(" ",Raw!J16)-1)),"")</f>
        <v>8</v>
      </c>
      <c r="R16" s="37" t="str">
        <f aca="false">IF(NOT(ISNUMBER(Q16)),"Unknown",IF(Q16&lt;=8,"≤ 8 GB",IF(Q16&lt;=16,"12–16 GB","20 GB +")))</f>
        <v>≤ 8 GB</v>
      </c>
      <c r="S16" s="37" t="str">
        <f aca="false">IF(Raw!K16="","",IF(ISNUMBER(FIND(" و ",Raw!K16)),TRIM(MID(Raw!K16,FIND(" و ",Raw!K16)+3,100)),TRIM(Raw!K16)))</f>
        <v>512 گیگابایت</v>
      </c>
      <c r="T16" s="43" t="n">
        <f aca="false">IF(S16="","",IFERROR(IFERROR(VALUE(LEFT(S16,FIND(" ",S16)-1)),VALUE(LEFT(S16,LEN(S16)-2)))*IF(OR(ISNUMBER(SEARCH("ترابایت",S16)),ISNUMBER(SEARCH("TB",S16))),1024,1),""))</f>
        <v>512</v>
      </c>
      <c r="U16" s="37" t="str">
        <f aca="false">IF(NOT(ISNUMBER(T16)),"Unknown",IF(T16&lt;=256,"≤ 256 GB",IF(T16&lt;=512,"512 GB","1 TB +")))</f>
        <v>512 GB</v>
      </c>
      <c r="V16" s="45" t="n">
        <f aca="false">IFERROR(VALUE(SUBSTITUTE(LEFT(Raw!L16,FIND(" ",Raw!L16)-1),".",MID(1/2,2,1))),"")</f>
        <v>13</v>
      </c>
      <c r="W16" s="41" t="n">
        <f aca="false">IFERROR(VALUE(SUBSTITUTE(LEFT(Raw!N16,FIND(" ",Raw!N16)-1),".",MID(1/2,2,1))),"")</f>
        <v>1.23</v>
      </c>
      <c r="X16" s="37" t="str">
        <f aca="false">IF(Raw!M16="","",TRIM(Raw!M16))</f>
        <v>Apple</v>
      </c>
      <c r="Y16" s="37" t="str">
        <f aca="false">IF(X16="","Unknown",IF(ISNUMBER(SEARCH("nvidia",X16)),"NVIDIA",IF(ISNUMBER(SEARCH("amd",X16)),"AMD",IF(ISNUMBER(SEARCH("apple",X16)),"Apple",IF(ISNUMBER(SEARCH("intel",X16)),"Intel","Other")))))</f>
        <v>Apple</v>
      </c>
      <c r="Z16" s="37" t="str">
        <f aca="false">IF(X16="","Unknown",IF(ISNUMBER(SEARCH("RTX",X16))+ISNUMBER(SEARCH("GTX",X16))+ISNUMBER(SEARCH("nvidia",X16))+ISNUMBER(SEARCH("Radeon RX",X16))&gt;0,"Dedicated","Integrated"))</f>
        <v>Integrated</v>
      </c>
      <c r="AA16" s="37" t="str">
        <f aca="false">IF(ISNUMBER(SEARCH("RTX",X16)),TRIM(MID(X16,SEARCH("RTX",X16),8)),IF(X16="","Unknown",IF(Z16="Dedicated","Dedicated (model n/a)","Integrated")))</f>
        <v>Integrated</v>
      </c>
      <c r="AB16" s="37" t="str">
        <f aca="false">IF(ISNUMBER(G16),INDEX(Params!$E$5:$E$9,MATCH(G16,Params!$D$5:$D$9,1)),"Unknown")</f>
        <v>200–300 M</v>
      </c>
      <c r="AC16" s="45" t="n">
        <f aca="false">IF(AND(ISNUMBER(G16),ISNUMBER(Q16)),IF(Q16&gt;0,G16/Q16,""),"")</f>
        <v>30.71625</v>
      </c>
      <c r="AD16" s="39" t="n">
        <f aca="false">IF(OR(p_excl=0,ISNUMBER(SEARCH("لپ",B16))),1,0)</f>
        <v>1</v>
      </c>
      <c r="AE16" s="39" t="n">
        <f aca="false">IF(AND(AD16=1,OR(fBrand="All",D16=fBrand),OR(fCPU="All",O16=fCPU),OR(fGPU="All",Z16=fGPU),OR(fTier="All",AB16=fTier),OR(fRAM="All",R16=fRAM)),1,0)</f>
        <v>1</v>
      </c>
      <c r="AF16" s="39" t="n">
        <f aca="false">IF(AND(AE16=1,ISNUMBER(G16)),1,0)</f>
        <v>1</v>
      </c>
      <c r="AG16" s="39" t="n">
        <f aca="false">IF(AND(AE16=1,L16&gt;0),1,0)</f>
        <v>1</v>
      </c>
      <c r="AH16" s="40" t="n">
        <f aca="false">IF(AF16=1,G16,"")</f>
        <v>245.73</v>
      </c>
      <c r="AI16" s="39" t="n">
        <f aca="false">IF(COUNTIF($D$2:D16,D16)=1,MAX($AI$1:AI15)+1,"")</f>
        <v>5</v>
      </c>
      <c r="AJ16" s="39" t="n">
        <f aca="false">IF(COUNTIF($P$2:P16,P16)=1,MAX($AJ$1:AJ15)+1,"")</f>
        <v>7</v>
      </c>
      <c r="AK16" s="47" t="n">
        <f aca="false">IF(AG16=1,M16+ROW()/1000000000,"")</f>
        <v>4.47916668266667</v>
      </c>
      <c r="AL16" s="47" t="str">
        <f aca="false">IF(AND(AE16=1,I16&gt;0),I16+ROW()/1000000000,"")</f>
        <v/>
      </c>
      <c r="AM16" s="39" t="n">
        <f aca="false">IF(AND(AF16=1,ISNUMBER(W16),Z16="Dedicated"),1,0)</f>
        <v>0</v>
      </c>
      <c r="AN16" s="39" t="n">
        <f aca="false">SUM($AM$2:AM16)</f>
        <v>3</v>
      </c>
      <c r="AO16" s="39" t="n">
        <f aca="false">IF(AND(AF16=1,ISNUMBER(W16),Z16&lt;&gt;"Dedicated"),1,0)</f>
        <v>1</v>
      </c>
      <c r="AP16" s="39" t="n">
        <f aca="false">SUM($AO$2:AO16)</f>
        <v>10</v>
      </c>
      <c r="AQ16" s="39" t="n">
        <f aca="false">IF(AND(AF16=1,AG16=1),1,0)</f>
        <v>1</v>
      </c>
      <c r="AR16" s="39" t="n">
        <f aca="false">SUM($AQ$2:AQ16)</f>
        <v>15</v>
      </c>
      <c r="AS16" s="45" t="n">
        <f aca="false">IF(AQ16=1,G16,0)</f>
        <v>245.73</v>
      </c>
      <c r="AT16" s="45" t="n">
        <f aca="false">IF(AQ16=1,K16,0)</f>
        <v>4.5</v>
      </c>
      <c r="AU16" s="37" t="str">
        <f aca="false">TRIM(IF(Raw!N16="","weight missing; ","")&amp;IF(Raw!K16="","storage missing; ","")&amp;IF(ISNUMBER(FIND(" و ",Raw!K16)),"dual storage - SSD part used; ","")&amp;IF(ISNUMBER(SEARCH("TB",Raw!K16)),"storage written as TB; ","")&amp;IF(Raw!I16="","cpu missing; ","")&amp;IF(Raw!M16="","gpu missing; ","")&amp;IF(Raw!J16="","ram missing; ","")&amp;IF(Raw!L16="","screen missing; ",""))</f>
        <v/>
      </c>
    </row>
    <row r="17" customFormat="false" ht="15" hidden="false" customHeight="false" outlineLevel="0" collapsed="false">
      <c r="A17" s="39" t="n">
        <f aca="false">Raw!A17</f>
        <v>435289</v>
      </c>
      <c r="B17" s="37" t="str">
        <f aca="false">Raw!B17</f>
        <v>لپ تاپ 13 اینچی اپل مدل MacBook Neo A18 Pro 2026 8GB 256GB</v>
      </c>
      <c r="C17" s="37" t="str">
        <f aca="false">LOWER(TRIM(Raw!C17))</f>
        <v>apple</v>
      </c>
      <c r="D17" s="37" t="str">
        <f aca="false">IFERROR(INDEX(Params!$B$5:$B$13,MATCH(C17,Params!$A$5:$A$13,0)),PROPER(C17))</f>
        <v>Apple</v>
      </c>
      <c r="E17" s="37" t="str">
        <f aca="false">IF(Raw!F17,"Available","Out of stock")</f>
        <v>Available</v>
      </c>
      <c r="F17" s="43" t="n">
        <f aca="false">IF(Raw!D17="","",Raw!D17)</f>
        <v>217470000</v>
      </c>
      <c r="G17" s="40" t="n">
        <f aca="false">IF(ISNUMBER(F17),F17/1000000,"")</f>
        <v>217.47</v>
      </c>
      <c r="H17" s="43" t="str">
        <f aca="false">IF(Raw!E17="","",Raw!E17)</f>
        <v/>
      </c>
      <c r="I17" s="42" t="n">
        <f aca="false">IF(AND(ISNUMBER(H17),ISNUMBER(F17)),IF(H17&gt;F17,(H17-F17)/H17,0),0)</f>
        <v>0</v>
      </c>
      <c r="J17" s="39" t="n">
        <f aca="false">IF(I17&gt;0,1,0)</f>
        <v>0</v>
      </c>
      <c r="K17" s="45" t="n">
        <f aca="false">Raw!G17</f>
        <v>4.7</v>
      </c>
      <c r="L17" s="39" t="n">
        <f aca="false">Raw!H17</f>
        <v>13</v>
      </c>
      <c r="M17" s="41" t="n">
        <f aca="false">IF(L17&gt;0,(L17*K17+p_m*p_c)/(L17+p_m),"")</f>
        <v>4.60217391304348</v>
      </c>
      <c r="N17" s="37" t="str">
        <f aca="false">IF(Raw!I17="","",TRIM(Raw!I17))</f>
        <v>Apple A18 Pro</v>
      </c>
      <c r="O17" s="37" t="str">
        <f aca="false">IF(N17="","Unknown",IF(LEFT(N17,5)="Apple","Apple",IF(LEFT(N17,5)="Ryzen","AMD","Intel")))</f>
        <v>Apple</v>
      </c>
      <c r="P17" s="37" t="str">
        <f aca="false">IF(N17="","Unknown",IF(LEFT(N17,5)="Apple","Apple Silicon",IF(LEFT(N17,8)="Ryzen AI","Ryzen AI",TRIM(LEFT(N17,7)))))</f>
        <v>Apple Silicon</v>
      </c>
      <c r="Q17" s="39" t="n">
        <f aca="false">IFERROR(VALUE(LEFT(Raw!J17,FIND(" ",Raw!J17)-1)),"")</f>
        <v>8</v>
      </c>
      <c r="R17" s="37" t="str">
        <f aca="false">IF(NOT(ISNUMBER(Q17)),"Unknown",IF(Q17&lt;=8,"≤ 8 GB",IF(Q17&lt;=16,"12–16 GB","20 GB +")))</f>
        <v>≤ 8 GB</v>
      </c>
      <c r="S17" s="37" t="str">
        <f aca="false">IF(Raw!K17="","",IF(ISNUMBER(FIND(" و ",Raw!K17)),TRIM(MID(Raw!K17,FIND(" و ",Raw!K17)+3,100)),TRIM(Raw!K17)))</f>
        <v>256 گیگابایت</v>
      </c>
      <c r="T17" s="43" t="n">
        <f aca="false">IF(S17="","",IFERROR(IFERROR(VALUE(LEFT(S17,FIND(" ",S17)-1)),VALUE(LEFT(S17,LEN(S17)-2)))*IF(OR(ISNUMBER(SEARCH("ترابایت",S17)),ISNUMBER(SEARCH("TB",S17))),1024,1),""))</f>
        <v>256</v>
      </c>
      <c r="U17" s="37" t="str">
        <f aca="false">IF(NOT(ISNUMBER(T17)),"Unknown",IF(T17&lt;=256,"≤ 256 GB",IF(T17&lt;=512,"512 GB","1 TB +")))</f>
        <v>≤ 256 GB</v>
      </c>
      <c r="V17" s="45" t="n">
        <f aca="false">IFERROR(VALUE(SUBSTITUTE(LEFT(Raw!L17,FIND(" ",Raw!L17)-1),".",MID(1/2,2,1))),"")</f>
        <v>13</v>
      </c>
      <c r="W17" s="41" t="n">
        <f aca="false">IFERROR(VALUE(SUBSTITUTE(LEFT(Raw!N17,FIND(" ",Raw!N17)-1),".",MID(1/2,2,1))),"")</f>
        <v>1.23</v>
      </c>
      <c r="X17" s="37" t="str">
        <f aca="false">IF(Raw!M17="","",TRIM(Raw!M17))</f>
        <v>Apple</v>
      </c>
      <c r="Y17" s="37" t="str">
        <f aca="false">IF(X17="","Unknown",IF(ISNUMBER(SEARCH("nvidia",X17)),"NVIDIA",IF(ISNUMBER(SEARCH("amd",X17)),"AMD",IF(ISNUMBER(SEARCH("apple",X17)),"Apple",IF(ISNUMBER(SEARCH("intel",X17)),"Intel","Other")))))</f>
        <v>Apple</v>
      </c>
      <c r="Z17" s="37" t="str">
        <f aca="false">IF(X17="","Unknown",IF(ISNUMBER(SEARCH("RTX",X17))+ISNUMBER(SEARCH("GTX",X17))+ISNUMBER(SEARCH("nvidia",X17))+ISNUMBER(SEARCH("Radeon RX",X17))&gt;0,"Dedicated","Integrated"))</f>
        <v>Integrated</v>
      </c>
      <c r="AA17" s="37" t="str">
        <f aca="false">IF(ISNUMBER(SEARCH("RTX",X17)),TRIM(MID(X17,SEARCH("RTX",X17),8)),IF(X17="","Unknown",IF(Z17="Dedicated","Dedicated (model n/a)","Integrated")))</f>
        <v>Integrated</v>
      </c>
      <c r="AB17" s="37" t="str">
        <f aca="false">IF(ISNUMBER(G17),INDEX(Params!$E$5:$E$9,MATCH(G17,Params!$D$5:$D$9,1)),"Unknown")</f>
        <v>200–300 M</v>
      </c>
      <c r="AC17" s="45" t="n">
        <f aca="false">IF(AND(ISNUMBER(G17),ISNUMBER(Q17)),IF(Q17&gt;0,G17/Q17,""),"")</f>
        <v>27.18375</v>
      </c>
      <c r="AD17" s="39" t="n">
        <f aca="false">IF(OR(p_excl=0,ISNUMBER(SEARCH("لپ",B17))),1,0)</f>
        <v>1</v>
      </c>
      <c r="AE17" s="39" t="n">
        <f aca="false">IF(AND(AD17=1,OR(fBrand="All",D17=fBrand),OR(fCPU="All",O17=fCPU),OR(fGPU="All",Z17=fGPU),OR(fTier="All",AB17=fTier),OR(fRAM="All",R17=fRAM)),1,0)</f>
        <v>1</v>
      </c>
      <c r="AF17" s="39" t="n">
        <f aca="false">IF(AND(AE17=1,ISNUMBER(G17)),1,0)</f>
        <v>1</v>
      </c>
      <c r="AG17" s="39" t="n">
        <f aca="false">IF(AND(AE17=1,L17&gt;0),1,0)</f>
        <v>1</v>
      </c>
      <c r="AH17" s="40" t="n">
        <f aca="false">IF(AF17=1,G17,"")</f>
        <v>217.47</v>
      </c>
      <c r="AI17" s="39" t="str">
        <f aca="false">IF(COUNTIF($D$2:D17,D17)=1,MAX($AI$1:AI16)+1,"")</f>
        <v/>
      </c>
      <c r="AJ17" s="39" t="str">
        <f aca="false">IF(COUNTIF($P$2:P17,P17)=1,MAX($AJ$1:AJ16)+1,"")</f>
        <v/>
      </c>
      <c r="AK17" s="47" t="n">
        <f aca="false">IF(AG17=1,M17+ROW()/1000000000,"")</f>
        <v>4.60217393004348</v>
      </c>
      <c r="AL17" s="47" t="str">
        <f aca="false">IF(AND(AE17=1,I17&gt;0),I17+ROW()/1000000000,"")</f>
        <v/>
      </c>
      <c r="AM17" s="39" t="n">
        <f aca="false">IF(AND(AF17=1,ISNUMBER(W17),Z17="Dedicated"),1,0)</f>
        <v>0</v>
      </c>
      <c r="AN17" s="39" t="n">
        <f aca="false">SUM($AM$2:AM17)</f>
        <v>3</v>
      </c>
      <c r="AO17" s="39" t="n">
        <f aca="false">IF(AND(AF17=1,ISNUMBER(W17),Z17&lt;&gt;"Dedicated"),1,0)</f>
        <v>1</v>
      </c>
      <c r="AP17" s="39" t="n">
        <f aca="false">SUM($AO$2:AO17)</f>
        <v>11</v>
      </c>
      <c r="AQ17" s="39" t="n">
        <f aca="false">IF(AND(AF17=1,AG17=1),1,0)</f>
        <v>1</v>
      </c>
      <c r="AR17" s="39" t="n">
        <f aca="false">SUM($AQ$2:AQ17)</f>
        <v>16</v>
      </c>
      <c r="AS17" s="45" t="n">
        <f aca="false">IF(AQ17=1,G17,0)</f>
        <v>217.47</v>
      </c>
      <c r="AT17" s="45" t="n">
        <f aca="false">IF(AQ17=1,K17,0)</f>
        <v>4.7</v>
      </c>
      <c r="AU17" s="37" t="str">
        <f aca="false">TRIM(IF(Raw!N17="","weight missing; ","")&amp;IF(Raw!K17="","storage missing; ","")&amp;IF(ISNUMBER(FIND(" و ",Raw!K17)),"dual storage - SSD part used; ","")&amp;IF(ISNUMBER(SEARCH("TB",Raw!K17)),"storage written as TB; ","")&amp;IF(Raw!I17="","cpu missing; ","")&amp;IF(Raw!M17="","gpu missing; ","")&amp;IF(Raw!J17="","ram missing; ","")&amp;IF(Raw!L17="","screen missing; ",""))</f>
        <v/>
      </c>
    </row>
    <row r="18" customFormat="false" ht="15" hidden="false" customHeight="false" outlineLevel="0" collapsed="false">
      <c r="A18" s="39" t="n">
        <f aca="false">Raw!A18</f>
        <v>38034</v>
      </c>
      <c r="B18" s="37" t="str">
        <f aca="false">Raw!B18</f>
        <v>لپ تاپ ایسوس 15.6 اینچی مدل Vivobook 15 X1504VA i3 1315U 8GB 512GB</v>
      </c>
      <c r="C18" s="37" t="str">
        <f aca="false">LOWER(TRIM(Raw!C18))</f>
        <v>asus</v>
      </c>
      <c r="D18" s="37" t="str">
        <f aca="false">IFERROR(INDEX(Params!$B$5:$B$13,MATCH(C18,Params!$A$5:$A$13,0)),PROPER(C18))</f>
        <v>ASUS</v>
      </c>
      <c r="E18" s="37" t="str">
        <f aca="false">IF(Raw!F18,"Available","Out of stock")</f>
        <v>Available</v>
      </c>
      <c r="F18" s="43" t="n">
        <f aca="false">IF(Raw!D18="","",Raw!D18)</f>
        <v>149500000</v>
      </c>
      <c r="G18" s="40" t="n">
        <f aca="false">IF(ISNUMBER(F18),F18/1000000,"")</f>
        <v>149.5</v>
      </c>
      <c r="H18" s="43" t="str">
        <f aca="false">IF(Raw!E18="","",Raw!E18)</f>
        <v/>
      </c>
      <c r="I18" s="42" t="n">
        <f aca="false">IF(AND(ISNUMBER(H18),ISNUMBER(F18)),IF(H18&gt;F18,(H18-F18)/H18,0),0)</f>
        <v>0</v>
      </c>
      <c r="J18" s="39" t="n">
        <f aca="false">IF(I18&gt;0,1,0)</f>
        <v>0</v>
      </c>
      <c r="K18" s="45" t="n">
        <f aca="false">Raw!G18</f>
        <v>4.1</v>
      </c>
      <c r="L18" s="39" t="n">
        <f aca="false">Raw!H18</f>
        <v>48</v>
      </c>
      <c r="M18" s="41" t="n">
        <f aca="false">IF(L18&gt;0,(L18*K18+p_m*p_c)/(L18+p_m),"")</f>
        <v>4.16465517241379</v>
      </c>
      <c r="N18" s="37" t="str">
        <f aca="false">IF(Raw!I18="","",TRIM(Raw!I18))</f>
        <v>Core i3 1315U</v>
      </c>
      <c r="O18" s="37" t="str">
        <f aca="false">IF(N18="","Unknown",IF(LEFT(N18,5)="Apple","Apple",IF(LEFT(N18,5)="Ryzen","AMD","Intel")))</f>
        <v>Intel</v>
      </c>
      <c r="P18" s="37" t="str">
        <f aca="false">IF(N18="","Unknown",IF(LEFT(N18,5)="Apple","Apple Silicon",IF(LEFT(N18,8)="Ryzen AI","Ryzen AI",TRIM(LEFT(N18,7)))))</f>
        <v>Core i3</v>
      </c>
      <c r="Q18" s="39" t="n">
        <f aca="false">IFERROR(VALUE(LEFT(Raw!J18,FIND(" ",Raw!J18)-1)),"")</f>
        <v>8</v>
      </c>
      <c r="R18" s="37" t="str">
        <f aca="false">IF(NOT(ISNUMBER(Q18)),"Unknown",IF(Q18&lt;=8,"≤ 8 GB",IF(Q18&lt;=16,"12–16 GB","20 GB +")))</f>
        <v>≤ 8 GB</v>
      </c>
      <c r="S18" s="37" t="str">
        <f aca="false">IF(Raw!K18="","",IF(ISNUMBER(FIND(" و ",Raw!K18)),TRIM(MID(Raw!K18,FIND(" و ",Raw!K18)+3,100)),TRIM(Raw!K18)))</f>
        <v>512 گیگابایت</v>
      </c>
      <c r="T18" s="43" t="n">
        <f aca="false">IF(S18="","",IFERROR(IFERROR(VALUE(LEFT(S18,FIND(" ",S18)-1)),VALUE(LEFT(S18,LEN(S18)-2)))*IF(OR(ISNUMBER(SEARCH("ترابایت",S18)),ISNUMBER(SEARCH("TB",S18))),1024,1),""))</f>
        <v>512</v>
      </c>
      <c r="U18" s="37" t="str">
        <f aca="false">IF(NOT(ISNUMBER(T18)),"Unknown",IF(T18&lt;=256,"≤ 256 GB",IF(T18&lt;=512,"512 GB","1 TB +")))</f>
        <v>512 GB</v>
      </c>
      <c r="V18" s="45" t="n">
        <f aca="false">IFERROR(VALUE(SUBSTITUTE(LEFT(Raw!L18,FIND(" ",Raw!L18)-1),".",MID(1/2,2,1))),"")</f>
        <v>15.6</v>
      </c>
      <c r="W18" s="41" t="n">
        <f aca="false">IFERROR(VALUE(SUBSTITUTE(LEFT(Raw!N18,FIND(" ",Raw!N18)-1),".",MID(1/2,2,1))),"")</f>
        <v>1.7</v>
      </c>
      <c r="X18" s="37" t="str">
        <f aca="false">IF(Raw!M18="","",TRIM(Raw!M18))</f>
        <v>Intel UHD Graphics</v>
      </c>
      <c r="Y18" s="37" t="str">
        <f aca="false">IF(X18="","Unknown",IF(ISNUMBER(SEARCH("nvidia",X18)),"NVIDIA",IF(ISNUMBER(SEARCH("amd",X18)),"AMD",IF(ISNUMBER(SEARCH("apple",X18)),"Apple",IF(ISNUMBER(SEARCH("intel",X18)),"Intel","Other")))))</f>
        <v>Intel</v>
      </c>
      <c r="Z18" s="37" t="str">
        <f aca="false">IF(X18="","Unknown",IF(ISNUMBER(SEARCH("RTX",X18))+ISNUMBER(SEARCH("GTX",X18))+ISNUMBER(SEARCH("nvidia",X18))+ISNUMBER(SEARCH("Radeon RX",X18))&gt;0,"Dedicated","Integrated"))</f>
        <v>Integrated</v>
      </c>
      <c r="AA18" s="37" t="str">
        <f aca="false">IF(ISNUMBER(SEARCH("RTX",X18)),TRIM(MID(X18,SEARCH("RTX",X18),8)),IF(X18="","Unknown",IF(Z18="Dedicated","Dedicated (model n/a)","Integrated")))</f>
        <v>Integrated</v>
      </c>
      <c r="AB18" s="37" t="str">
        <f aca="false">IF(ISNUMBER(G18),INDEX(Params!$E$5:$E$9,MATCH(G18,Params!$D$5:$D$9,1)),"Unknown")</f>
        <v>100–200 M</v>
      </c>
      <c r="AC18" s="45" t="n">
        <f aca="false">IF(AND(ISNUMBER(G18),ISNUMBER(Q18)),IF(Q18&gt;0,G18/Q18,""),"")</f>
        <v>18.6875</v>
      </c>
      <c r="AD18" s="39" t="n">
        <f aca="false">IF(OR(p_excl=0,ISNUMBER(SEARCH("لپ",B18))),1,0)</f>
        <v>1</v>
      </c>
      <c r="AE18" s="39" t="n">
        <f aca="false">IF(AND(AD18=1,OR(fBrand="All",D18=fBrand),OR(fCPU="All",O18=fCPU),OR(fGPU="All",Z18=fGPU),OR(fTier="All",AB18=fTier),OR(fRAM="All",R18=fRAM)),1,0)</f>
        <v>1</v>
      </c>
      <c r="AF18" s="39" t="n">
        <f aca="false">IF(AND(AE18=1,ISNUMBER(G18)),1,0)</f>
        <v>1</v>
      </c>
      <c r="AG18" s="39" t="n">
        <f aca="false">IF(AND(AE18=1,L18&gt;0),1,0)</f>
        <v>1</v>
      </c>
      <c r="AH18" s="40" t="n">
        <f aca="false">IF(AF18=1,G18,"")</f>
        <v>149.5</v>
      </c>
      <c r="AI18" s="39" t="str">
        <f aca="false">IF(COUNTIF($D$2:D18,D18)=1,MAX($AI$1:AI17)+1,"")</f>
        <v/>
      </c>
      <c r="AJ18" s="39" t="str">
        <f aca="false">IF(COUNTIF($P$2:P18,P18)=1,MAX($AJ$1:AJ17)+1,"")</f>
        <v/>
      </c>
      <c r="AK18" s="47" t="n">
        <f aca="false">IF(AG18=1,M18+ROW()/1000000000,"")</f>
        <v>4.16465519041379</v>
      </c>
      <c r="AL18" s="47" t="str">
        <f aca="false">IF(AND(AE18=1,I18&gt;0),I18+ROW()/1000000000,"")</f>
        <v/>
      </c>
      <c r="AM18" s="39" t="n">
        <f aca="false">IF(AND(AF18=1,ISNUMBER(W18),Z18="Dedicated"),1,0)</f>
        <v>0</v>
      </c>
      <c r="AN18" s="39" t="n">
        <f aca="false">SUM($AM$2:AM18)</f>
        <v>3</v>
      </c>
      <c r="AO18" s="39" t="n">
        <f aca="false">IF(AND(AF18=1,ISNUMBER(W18),Z18&lt;&gt;"Dedicated"),1,0)</f>
        <v>1</v>
      </c>
      <c r="AP18" s="39" t="n">
        <f aca="false">SUM($AO$2:AO18)</f>
        <v>12</v>
      </c>
      <c r="AQ18" s="39" t="n">
        <f aca="false">IF(AND(AF18=1,AG18=1),1,0)</f>
        <v>1</v>
      </c>
      <c r="AR18" s="39" t="n">
        <f aca="false">SUM($AQ$2:AQ18)</f>
        <v>17</v>
      </c>
      <c r="AS18" s="45" t="n">
        <f aca="false">IF(AQ18=1,G18,0)</f>
        <v>149.5</v>
      </c>
      <c r="AT18" s="45" t="n">
        <f aca="false">IF(AQ18=1,K18,0)</f>
        <v>4.1</v>
      </c>
      <c r="AU18" s="37" t="str">
        <f aca="false">TRIM(IF(Raw!N18="","weight missing; ","")&amp;IF(Raw!K18="","storage missing; ","")&amp;IF(ISNUMBER(FIND(" و ",Raw!K18)),"dual storage - SSD part used; ","")&amp;IF(ISNUMBER(SEARCH("TB",Raw!K18)),"storage written as TB; ","")&amp;IF(Raw!I18="","cpu missing; ","")&amp;IF(Raw!M18="","gpu missing; ","")&amp;IF(Raw!J18="","ram missing; ","")&amp;IF(Raw!L18="","screen missing; ",""))</f>
        <v/>
      </c>
    </row>
    <row r="19" customFormat="false" ht="15" hidden="false" customHeight="false" outlineLevel="0" collapsed="false">
      <c r="A19" s="39" t="n">
        <f aca="false">Raw!A19</f>
        <v>593941</v>
      </c>
      <c r="B19" s="37" t="str">
        <f aca="false">Raw!B19</f>
        <v>لپ تاپ اچ پی 16 اینچی مدل OmniBook 5 Next Gen AI 16 ag1070wm Ryzen AI 7 350 16GB 512GB</v>
      </c>
      <c r="C19" s="37" t="str">
        <f aca="false">LOWER(TRIM(Raw!C19))</f>
        <v>hp</v>
      </c>
      <c r="D19" s="37" t="str">
        <f aca="false">IFERROR(INDEX(Params!$B$5:$B$13,MATCH(C19,Params!$A$5:$A$13,0)),PROPER(C19))</f>
        <v>HP</v>
      </c>
      <c r="E19" s="37" t="str">
        <f aca="false">IF(Raw!F19,"Available","Out of stock")</f>
        <v>Available</v>
      </c>
      <c r="F19" s="43" t="n">
        <f aca="false">IF(Raw!D19="","",Raw!D19)</f>
        <v>215000000</v>
      </c>
      <c r="G19" s="40" t="n">
        <f aca="false">IF(ISNUMBER(F19),F19/1000000,"")</f>
        <v>215</v>
      </c>
      <c r="H19" s="43" t="n">
        <f aca="false">IF(Raw!E19="","",Raw!E19)</f>
        <v>220000000</v>
      </c>
      <c r="I19" s="42" t="n">
        <f aca="false">IF(AND(ISNUMBER(H19),ISNUMBER(F19)),IF(H19&gt;F19,(H19-F19)/H19,0),0)</f>
        <v>0.0227272727272727</v>
      </c>
      <c r="J19" s="39" t="n">
        <f aca="false">IF(I19&gt;0,1,0)</f>
        <v>1</v>
      </c>
      <c r="K19" s="45" t="n">
        <f aca="false">Raw!G19</f>
        <v>5</v>
      </c>
      <c r="L19" s="39" t="n">
        <f aca="false">Raw!H19</f>
        <v>1</v>
      </c>
      <c r="M19" s="41" t="n">
        <f aca="false">IF(L19&gt;0,(L19*K19+p_m*p_c)/(L19+p_m),"")</f>
        <v>4.52272727272727</v>
      </c>
      <c r="N19" s="37" t="str">
        <f aca="false">IF(Raw!I19="","",TRIM(Raw!I19))</f>
        <v>Ryzen AI 7 350</v>
      </c>
      <c r="O19" s="37" t="str">
        <f aca="false">IF(N19="","Unknown",IF(LEFT(N19,5)="Apple","Apple",IF(LEFT(N19,5)="Ryzen","AMD","Intel")))</f>
        <v>AMD</v>
      </c>
      <c r="P19" s="37" t="str">
        <f aca="false">IF(N19="","Unknown",IF(LEFT(N19,5)="Apple","Apple Silicon",IF(LEFT(N19,8)="Ryzen AI","Ryzen AI",TRIM(LEFT(N19,7)))))</f>
        <v>Ryzen AI</v>
      </c>
      <c r="Q19" s="39" t="n">
        <f aca="false">IFERROR(VALUE(LEFT(Raw!J19,FIND(" ",Raw!J19)-1)),"")</f>
        <v>16</v>
      </c>
      <c r="R19" s="37" t="str">
        <f aca="false">IF(NOT(ISNUMBER(Q19)),"Unknown",IF(Q19&lt;=8,"≤ 8 GB",IF(Q19&lt;=16,"12–16 GB","20 GB +")))</f>
        <v>12–16 GB</v>
      </c>
      <c r="S19" s="37" t="str">
        <f aca="false">IF(Raw!K19="","",IF(ISNUMBER(FIND(" و ",Raw!K19)),TRIM(MID(Raw!K19,FIND(" و ",Raw!K19)+3,100)),TRIM(Raw!K19)))</f>
        <v>512 گیگابایت</v>
      </c>
      <c r="T19" s="43" t="n">
        <f aca="false">IF(S19="","",IFERROR(IFERROR(VALUE(LEFT(S19,FIND(" ",S19)-1)),VALUE(LEFT(S19,LEN(S19)-2)))*IF(OR(ISNUMBER(SEARCH("ترابایت",S19)),ISNUMBER(SEARCH("TB",S19))),1024,1),""))</f>
        <v>512</v>
      </c>
      <c r="U19" s="37" t="str">
        <f aca="false">IF(NOT(ISNUMBER(T19)),"Unknown",IF(T19&lt;=256,"≤ 256 GB",IF(T19&lt;=512,"512 GB","1 TB +")))</f>
        <v>512 GB</v>
      </c>
      <c r="V19" s="45" t="n">
        <f aca="false">IFERROR(VALUE(SUBSTITUTE(LEFT(Raw!L19,FIND(" ",Raw!L19)-1),".",MID(1/2,2,1))),"")</f>
        <v>16</v>
      </c>
      <c r="W19" s="41" t="n">
        <f aca="false">IFERROR(VALUE(SUBSTITUTE(LEFT(Raw!N19,FIND(" ",Raw!N19)-1),".",MID(1/2,2,1))),"")</f>
        <v>1.79</v>
      </c>
      <c r="X19" s="37" t="str">
        <f aca="false">IF(Raw!M19="","",TRIM(Raw!M19))</f>
        <v>AMD Radeon Graphics</v>
      </c>
      <c r="Y19" s="37" t="str">
        <f aca="false">IF(X19="","Unknown",IF(ISNUMBER(SEARCH("nvidia",X19)),"NVIDIA",IF(ISNUMBER(SEARCH("amd",X19)),"AMD",IF(ISNUMBER(SEARCH("apple",X19)),"Apple",IF(ISNUMBER(SEARCH("intel",X19)),"Intel","Other")))))</f>
        <v>AMD</v>
      </c>
      <c r="Z19" s="37" t="str">
        <f aca="false">IF(X19="","Unknown",IF(ISNUMBER(SEARCH("RTX",X19))+ISNUMBER(SEARCH("GTX",X19))+ISNUMBER(SEARCH("nvidia",X19))+ISNUMBER(SEARCH("Radeon RX",X19))&gt;0,"Dedicated","Integrated"))</f>
        <v>Integrated</v>
      </c>
      <c r="AA19" s="37" t="str">
        <f aca="false">IF(ISNUMBER(SEARCH("RTX",X19)),TRIM(MID(X19,SEARCH("RTX",X19),8)),IF(X19="","Unknown",IF(Z19="Dedicated","Dedicated (model n/a)","Integrated")))</f>
        <v>Integrated</v>
      </c>
      <c r="AB19" s="37" t="str">
        <f aca="false">IF(ISNUMBER(G19),INDEX(Params!$E$5:$E$9,MATCH(G19,Params!$D$5:$D$9,1)),"Unknown")</f>
        <v>200–300 M</v>
      </c>
      <c r="AC19" s="45" t="n">
        <f aca="false">IF(AND(ISNUMBER(G19),ISNUMBER(Q19)),IF(Q19&gt;0,G19/Q19,""),"")</f>
        <v>13.4375</v>
      </c>
      <c r="AD19" s="39" t="n">
        <f aca="false">IF(OR(p_excl=0,ISNUMBER(SEARCH("لپ",B19))),1,0)</f>
        <v>1</v>
      </c>
      <c r="AE19" s="39" t="n">
        <f aca="false">IF(AND(AD19=1,OR(fBrand="All",D19=fBrand),OR(fCPU="All",O19=fCPU),OR(fGPU="All",Z19=fGPU),OR(fTier="All",AB19=fTier),OR(fRAM="All",R19=fRAM)),1,0)</f>
        <v>1</v>
      </c>
      <c r="AF19" s="39" t="n">
        <f aca="false">IF(AND(AE19=1,ISNUMBER(G19)),1,0)</f>
        <v>1</v>
      </c>
      <c r="AG19" s="39" t="n">
        <f aca="false">IF(AND(AE19=1,L19&gt;0),1,0)</f>
        <v>1</v>
      </c>
      <c r="AH19" s="40" t="n">
        <f aca="false">IF(AF19=1,G19,"")</f>
        <v>215</v>
      </c>
      <c r="AI19" s="39" t="str">
        <f aca="false">IF(COUNTIF($D$2:D19,D19)=1,MAX($AI$1:AI18)+1,"")</f>
        <v/>
      </c>
      <c r="AJ19" s="39" t="n">
        <f aca="false">IF(COUNTIF($P$2:P19,P19)=1,MAX($AJ$1:AJ18)+1,"")</f>
        <v>8</v>
      </c>
      <c r="AK19" s="47" t="n">
        <f aca="false">IF(AG19=1,M19+ROW()/1000000000,"")</f>
        <v>4.52272729172727</v>
      </c>
      <c r="AL19" s="47" t="n">
        <f aca="false">IF(AND(AE19=1,I19&gt;0),I19+ROW()/1000000000,"")</f>
        <v>0.0227272917272727</v>
      </c>
      <c r="AM19" s="39" t="n">
        <f aca="false">IF(AND(AF19=1,ISNUMBER(W19),Z19="Dedicated"),1,0)</f>
        <v>0</v>
      </c>
      <c r="AN19" s="39" t="n">
        <f aca="false">SUM($AM$2:AM19)</f>
        <v>3</v>
      </c>
      <c r="AO19" s="39" t="n">
        <f aca="false">IF(AND(AF19=1,ISNUMBER(W19),Z19&lt;&gt;"Dedicated"),1,0)</f>
        <v>1</v>
      </c>
      <c r="AP19" s="39" t="n">
        <f aca="false">SUM($AO$2:AO19)</f>
        <v>13</v>
      </c>
      <c r="AQ19" s="39" t="n">
        <f aca="false">IF(AND(AF19=1,AG19=1),1,0)</f>
        <v>1</v>
      </c>
      <c r="AR19" s="39" t="n">
        <f aca="false">SUM($AQ$2:AQ19)</f>
        <v>18</v>
      </c>
      <c r="AS19" s="45" t="n">
        <f aca="false">IF(AQ19=1,G19,0)</f>
        <v>215</v>
      </c>
      <c r="AT19" s="45" t="n">
        <f aca="false">IF(AQ19=1,K19,0)</f>
        <v>5</v>
      </c>
      <c r="AU19" s="37" t="str">
        <f aca="false">TRIM(IF(Raw!N19="","weight missing; ","")&amp;IF(Raw!K19="","storage missing; ","")&amp;IF(ISNUMBER(FIND(" و ",Raw!K19)),"dual storage - SSD part used; ","")&amp;IF(ISNUMBER(SEARCH("TB",Raw!K19)),"storage written as TB; ","")&amp;IF(Raw!I19="","cpu missing; ","")&amp;IF(Raw!M19="","gpu missing; ","")&amp;IF(Raw!J19="","ram missing; ","")&amp;IF(Raw!L19="","screen missing; ",""))</f>
        <v/>
      </c>
    </row>
    <row r="20" customFormat="false" ht="15" hidden="false" customHeight="false" outlineLevel="0" collapsed="false">
      <c r="A20" s="39" t="n">
        <f aca="false">Raw!A20</f>
        <v>314753</v>
      </c>
      <c r="B20" s="37" t="str">
        <f aca="false">Raw!B20</f>
        <v>لپ تاپ اچ پی 15.6 اینچی مدل HP 255R G10 R5 7535U 16GB 512GB</v>
      </c>
      <c r="C20" s="37" t="str">
        <f aca="false">LOWER(TRIM(Raw!C20))</f>
        <v>hp</v>
      </c>
      <c r="D20" s="37" t="str">
        <f aca="false">IFERROR(INDEX(Params!$B$5:$B$13,MATCH(C20,Params!$A$5:$A$13,0)),PROPER(C20))</f>
        <v>HP</v>
      </c>
      <c r="E20" s="37" t="str">
        <f aca="false">IF(Raw!F20,"Available","Out of stock")</f>
        <v>Available</v>
      </c>
      <c r="F20" s="43" t="n">
        <f aca="false">IF(Raw!D20="","",Raw!D20)</f>
        <v>165000000</v>
      </c>
      <c r="G20" s="40" t="n">
        <f aca="false">IF(ISNUMBER(F20),F20/1000000,"")</f>
        <v>165</v>
      </c>
      <c r="H20" s="43" t="str">
        <f aca="false">IF(Raw!E20="","",Raw!E20)</f>
        <v/>
      </c>
      <c r="I20" s="42" t="n">
        <f aca="false">IF(AND(ISNUMBER(H20),ISNUMBER(F20)),IF(H20&gt;F20,(H20-F20)/H20,0),0)</f>
        <v>0</v>
      </c>
      <c r="J20" s="39" t="n">
        <f aca="false">IF(I20&gt;0,1,0)</f>
        <v>0</v>
      </c>
      <c r="K20" s="45" t="n">
        <f aca="false">Raw!G20</f>
        <v>5</v>
      </c>
      <c r="L20" s="39" t="n">
        <f aca="false">Raw!H20</f>
        <v>1</v>
      </c>
      <c r="M20" s="41" t="n">
        <f aca="false">IF(L20&gt;0,(L20*K20+p_m*p_c)/(L20+p_m),"")</f>
        <v>4.52272727272727</v>
      </c>
      <c r="N20" s="37" t="str">
        <f aca="false">IF(Raw!I20="","",TRIM(Raw!I20))</f>
        <v>Ryzen 5 7535U</v>
      </c>
      <c r="O20" s="37" t="str">
        <f aca="false">IF(N20="","Unknown",IF(LEFT(N20,5)="Apple","Apple",IF(LEFT(N20,5)="Ryzen","AMD","Intel")))</f>
        <v>AMD</v>
      </c>
      <c r="P20" s="37" t="str">
        <f aca="false">IF(N20="","Unknown",IF(LEFT(N20,5)="Apple","Apple Silicon",IF(LEFT(N20,8)="Ryzen AI","Ryzen AI",TRIM(LEFT(N20,7)))))</f>
        <v>Ryzen 5</v>
      </c>
      <c r="Q20" s="39" t="n">
        <f aca="false">IFERROR(VALUE(LEFT(Raw!J20,FIND(" ",Raw!J20)-1)),"")</f>
        <v>16</v>
      </c>
      <c r="R20" s="37" t="str">
        <f aca="false">IF(NOT(ISNUMBER(Q20)),"Unknown",IF(Q20&lt;=8,"≤ 8 GB",IF(Q20&lt;=16,"12–16 GB","20 GB +")))</f>
        <v>12–16 GB</v>
      </c>
      <c r="S20" s="37" t="str">
        <f aca="false">IF(Raw!K20="","",IF(ISNUMBER(FIND(" و ",Raw!K20)),TRIM(MID(Raw!K20,FIND(" و ",Raw!K20)+3,100)),TRIM(Raw!K20)))</f>
        <v>512 گیگابایت</v>
      </c>
      <c r="T20" s="43" t="n">
        <f aca="false">IF(S20="","",IFERROR(IFERROR(VALUE(LEFT(S20,FIND(" ",S20)-1)),VALUE(LEFT(S20,LEN(S20)-2)))*IF(OR(ISNUMBER(SEARCH("ترابایت",S20)),ISNUMBER(SEARCH("TB",S20))),1024,1),""))</f>
        <v>512</v>
      </c>
      <c r="U20" s="37" t="str">
        <f aca="false">IF(NOT(ISNUMBER(T20)),"Unknown",IF(T20&lt;=256,"≤ 256 GB",IF(T20&lt;=512,"512 GB","1 TB +")))</f>
        <v>512 GB</v>
      </c>
      <c r="V20" s="45" t="n">
        <f aca="false">IFERROR(VALUE(SUBSTITUTE(LEFT(Raw!L20,FIND(" ",Raw!L20)-1),".",MID(1/2,2,1))),"")</f>
        <v>15.6</v>
      </c>
      <c r="W20" s="41" t="n">
        <f aca="false">IFERROR(VALUE(SUBSTITUTE(LEFT(Raw!N20,FIND(" ",Raw!N20)-1),".",MID(1/2,2,1))),"")</f>
        <v>1.66</v>
      </c>
      <c r="X20" s="37" t="str">
        <f aca="false">IF(Raw!M20="","",TRIM(Raw!M20))</f>
        <v>AMD</v>
      </c>
      <c r="Y20" s="37" t="str">
        <f aca="false">IF(X20="","Unknown",IF(ISNUMBER(SEARCH("nvidia",X20)),"NVIDIA",IF(ISNUMBER(SEARCH("amd",X20)),"AMD",IF(ISNUMBER(SEARCH("apple",X20)),"Apple",IF(ISNUMBER(SEARCH("intel",X20)),"Intel","Other")))))</f>
        <v>AMD</v>
      </c>
      <c r="Z20" s="37" t="str">
        <f aca="false">IF(X20="","Unknown",IF(ISNUMBER(SEARCH("RTX",X20))+ISNUMBER(SEARCH("GTX",X20))+ISNUMBER(SEARCH("nvidia",X20))+ISNUMBER(SEARCH("Radeon RX",X20))&gt;0,"Dedicated","Integrated"))</f>
        <v>Integrated</v>
      </c>
      <c r="AA20" s="37" t="str">
        <f aca="false">IF(ISNUMBER(SEARCH("RTX",X20)),TRIM(MID(X20,SEARCH("RTX",X20),8)),IF(X20="","Unknown",IF(Z20="Dedicated","Dedicated (model n/a)","Integrated")))</f>
        <v>Integrated</v>
      </c>
      <c r="AB20" s="37" t="str">
        <f aca="false">IF(ISNUMBER(G20),INDEX(Params!$E$5:$E$9,MATCH(G20,Params!$D$5:$D$9,1)),"Unknown")</f>
        <v>100–200 M</v>
      </c>
      <c r="AC20" s="45" t="n">
        <f aca="false">IF(AND(ISNUMBER(G20),ISNUMBER(Q20)),IF(Q20&gt;0,G20/Q20,""),"")</f>
        <v>10.3125</v>
      </c>
      <c r="AD20" s="39" t="n">
        <f aca="false">IF(OR(p_excl=0,ISNUMBER(SEARCH("لپ",B20))),1,0)</f>
        <v>1</v>
      </c>
      <c r="AE20" s="39" t="n">
        <f aca="false">IF(AND(AD20=1,OR(fBrand="All",D20=fBrand),OR(fCPU="All",O20=fCPU),OR(fGPU="All",Z20=fGPU),OR(fTier="All",AB20=fTier),OR(fRAM="All",R20=fRAM)),1,0)</f>
        <v>1</v>
      </c>
      <c r="AF20" s="39" t="n">
        <f aca="false">IF(AND(AE20=1,ISNUMBER(G20)),1,0)</f>
        <v>1</v>
      </c>
      <c r="AG20" s="39" t="n">
        <f aca="false">IF(AND(AE20=1,L20&gt;0),1,0)</f>
        <v>1</v>
      </c>
      <c r="AH20" s="40" t="n">
        <f aca="false">IF(AF20=1,G20,"")</f>
        <v>165</v>
      </c>
      <c r="AI20" s="39" t="str">
        <f aca="false">IF(COUNTIF($D$2:D20,D20)=1,MAX($AI$1:AI19)+1,"")</f>
        <v/>
      </c>
      <c r="AJ20" s="39" t="n">
        <f aca="false">IF(COUNTIF($P$2:P20,P20)=1,MAX($AJ$1:AJ19)+1,"")</f>
        <v>9</v>
      </c>
      <c r="AK20" s="47" t="n">
        <f aca="false">IF(AG20=1,M20+ROW()/1000000000,"")</f>
        <v>4.52272729272727</v>
      </c>
      <c r="AL20" s="47" t="str">
        <f aca="false">IF(AND(AE20=1,I20&gt;0),I20+ROW()/1000000000,"")</f>
        <v/>
      </c>
      <c r="AM20" s="39" t="n">
        <f aca="false">IF(AND(AF20=1,ISNUMBER(W20),Z20="Dedicated"),1,0)</f>
        <v>0</v>
      </c>
      <c r="AN20" s="39" t="n">
        <f aca="false">SUM($AM$2:AM20)</f>
        <v>3</v>
      </c>
      <c r="AO20" s="39" t="n">
        <f aca="false">IF(AND(AF20=1,ISNUMBER(W20),Z20&lt;&gt;"Dedicated"),1,0)</f>
        <v>1</v>
      </c>
      <c r="AP20" s="39" t="n">
        <f aca="false">SUM($AO$2:AO20)</f>
        <v>14</v>
      </c>
      <c r="AQ20" s="39" t="n">
        <f aca="false">IF(AND(AF20=1,AG20=1),1,0)</f>
        <v>1</v>
      </c>
      <c r="AR20" s="39" t="n">
        <f aca="false">SUM($AQ$2:AQ20)</f>
        <v>19</v>
      </c>
      <c r="AS20" s="45" t="n">
        <f aca="false">IF(AQ20=1,G20,0)</f>
        <v>165</v>
      </c>
      <c r="AT20" s="45" t="n">
        <f aca="false">IF(AQ20=1,K20,0)</f>
        <v>5</v>
      </c>
      <c r="AU20" s="37" t="str">
        <f aca="false">TRIM(IF(Raw!N20="","weight missing; ","")&amp;IF(Raw!K20="","storage missing; ","")&amp;IF(ISNUMBER(FIND(" و ",Raw!K20)),"dual storage - SSD part used; ","")&amp;IF(ISNUMBER(SEARCH("TB",Raw!K20)),"storage written as TB; ","")&amp;IF(Raw!I20="","cpu missing; ","")&amp;IF(Raw!M20="","gpu missing; ","")&amp;IF(Raw!J20="","ram missing; ","")&amp;IF(Raw!L20="","screen missing; ",""))</f>
        <v/>
      </c>
    </row>
    <row r="21" customFormat="false" ht="15" hidden="false" customHeight="false" outlineLevel="0" collapsed="false">
      <c r="A21" s="39" t="n">
        <f aca="false">Raw!A21</f>
        <v>132007</v>
      </c>
      <c r="B21" s="37" t="str">
        <f aca="false">Raw!B21</f>
        <v>لپ تاپ 15.6 اینچی اچ پی مدل Victus 15 FA2013DX i5 13420H 8GB 512GB RTX 3050</v>
      </c>
      <c r="C21" s="37" t="str">
        <f aca="false">LOWER(TRIM(Raw!C21))</f>
        <v>hp</v>
      </c>
      <c r="D21" s="37" t="str">
        <f aca="false">IFERROR(INDEX(Params!$B$5:$B$13,MATCH(C21,Params!$A$5:$A$13,0)),PROPER(C21))</f>
        <v>HP</v>
      </c>
      <c r="E21" s="37" t="str">
        <f aca="false">IF(Raw!F21,"Available","Out of stock")</f>
        <v>Available</v>
      </c>
      <c r="F21" s="43" t="n">
        <f aca="false">IF(Raw!D21="","",Raw!D21)</f>
        <v>229000000</v>
      </c>
      <c r="G21" s="40" t="n">
        <f aca="false">IF(ISNUMBER(F21),F21/1000000,"")</f>
        <v>229</v>
      </c>
      <c r="H21" s="43" t="n">
        <f aca="false">IF(Raw!E21="","",Raw!E21)</f>
        <v>240000000</v>
      </c>
      <c r="I21" s="42" t="n">
        <f aca="false">IF(AND(ISNUMBER(H21),ISNUMBER(F21)),IF(H21&gt;F21,(H21-F21)/H21,0),0)</f>
        <v>0.0458333333333333</v>
      </c>
      <c r="J21" s="39" t="n">
        <f aca="false">IF(I21&gt;0,1,0)</f>
        <v>1</v>
      </c>
      <c r="K21" s="45" t="n">
        <f aca="false">Raw!G21</f>
        <v>4.3</v>
      </c>
      <c r="L21" s="39" t="n">
        <f aca="false">Raw!H21</f>
        <v>24</v>
      </c>
      <c r="M21" s="41" t="n">
        <f aca="false">IF(L21&gt;0,(L21*K21+p_m*p_c)/(L21+p_m),"")</f>
        <v>4.35147058823529</v>
      </c>
      <c r="N21" s="37" t="str">
        <f aca="false">IF(Raw!I21="","",TRIM(Raw!I21))</f>
        <v>Core i5 13420H</v>
      </c>
      <c r="O21" s="37" t="str">
        <f aca="false">IF(N21="","Unknown",IF(LEFT(N21,5)="Apple","Apple",IF(LEFT(N21,5)="Ryzen","AMD","Intel")))</f>
        <v>Intel</v>
      </c>
      <c r="P21" s="37" t="str">
        <f aca="false">IF(N21="","Unknown",IF(LEFT(N21,5)="Apple","Apple Silicon",IF(LEFT(N21,8)="Ryzen AI","Ryzen AI",TRIM(LEFT(N21,7)))))</f>
        <v>Core i5</v>
      </c>
      <c r="Q21" s="39" t="n">
        <f aca="false">IFERROR(VALUE(LEFT(Raw!J21,FIND(" ",Raw!J21)-1)),"")</f>
        <v>8</v>
      </c>
      <c r="R21" s="37" t="str">
        <f aca="false">IF(NOT(ISNUMBER(Q21)),"Unknown",IF(Q21&lt;=8,"≤ 8 GB",IF(Q21&lt;=16,"12–16 GB","20 GB +")))</f>
        <v>≤ 8 GB</v>
      </c>
      <c r="S21" s="37" t="str">
        <f aca="false">IF(Raw!K21="","",IF(ISNUMBER(FIND(" و ",Raw!K21)),TRIM(MID(Raw!K21,FIND(" و ",Raw!K21)+3,100)),TRIM(Raw!K21)))</f>
        <v>512 گیگابایت</v>
      </c>
      <c r="T21" s="43" t="n">
        <f aca="false">IF(S21="","",IFERROR(IFERROR(VALUE(LEFT(S21,FIND(" ",S21)-1)),VALUE(LEFT(S21,LEN(S21)-2)))*IF(OR(ISNUMBER(SEARCH("ترابایت",S21)),ISNUMBER(SEARCH("TB",S21))),1024,1),""))</f>
        <v>512</v>
      </c>
      <c r="U21" s="37" t="str">
        <f aca="false">IF(NOT(ISNUMBER(T21)),"Unknown",IF(T21&lt;=256,"≤ 256 GB",IF(T21&lt;=512,"512 GB","1 TB +")))</f>
        <v>512 GB</v>
      </c>
      <c r="V21" s="45" t="n">
        <f aca="false">IFERROR(VALUE(SUBSTITUTE(LEFT(Raw!L21,FIND(" ",Raw!L21)-1),".",MID(1/2,2,1))),"")</f>
        <v>15.6</v>
      </c>
      <c r="W21" s="41" t="n">
        <f aca="false">IFERROR(VALUE(SUBSTITUTE(LEFT(Raw!N21,FIND(" ",Raw!N21)-1),".",MID(1/2,2,1))),"")</f>
        <v>2.2</v>
      </c>
      <c r="X21" s="37" t="str">
        <f aca="false">IF(Raw!M21="","",TRIM(Raw!M21))</f>
        <v>NVIDIA GeForce RTX 3050</v>
      </c>
      <c r="Y21" s="37" t="str">
        <f aca="false">IF(X21="","Unknown",IF(ISNUMBER(SEARCH("nvidia",X21)),"NVIDIA",IF(ISNUMBER(SEARCH("amd",X21)),"AMD",IF(ISNUMBER(SEARCH("apple",X21)),"Apple",IF(ISNUMBER(SEARCH("intel",X21)),"Intel","Other")))))</f>
        <v>NVIDIA</v>
      </c>
      <c r="Z21" s="37" t="str">
        <f aca="false">IF(X21="","Unknown",IF(ISNUMBER(SEARCH("RTX",X21))+ISNUMBER(SEARCH("GTX",X21))+ISNUMBER(SEARCH("nvidia",X21))+ISNUMBER(SEARCH("Radeon RX",X21))&gt;0,"Dedicated","Integrated"))</f>
        <v>Dedicated</v>
      </c>
      <c r="AA21" s="37" t="str">
        <f aca="false">IF(ISNUMBER(SEARCH("RTX",X21)),TRIM(MID(X21,SEARCH("RTX",X21),8)),IF(X21="","Unknown",IF(Z21="Dedicated","Dedicated (model n/a)","Integrated")))</f>
        <v>RTX 3050</v>
      </c>
      <c r="AB21" s="37" t="str">
        <f aca="false">IF(ISNUMBER(G21),INDEX(Params!$E$5:$E$9,MATCH(G21,Params!$D$5:$D$9,1)),"Unknown")</f>
        <v>200–300 M</v>
      </c>
      <c r="AC21" s="45" t="n">
        <f aca="false">IF(AND(ISNUMBER(G21),ISNUMBER(Q21)),IF(Q21&gt;0,G21/Q21,""),"")</f>
        <v>28.625</v>
      </c>
      <c r="AD21" s="39" t="n">
        <f aca="false">IF(OR(p_excl=0,ISNUMBER(SEARCH("لپ",B21))),1,0)</f>
        <v>1</v>
      </c>
      <c r="AE21" s="39" t="n">
        <f aca="false">IF(AND(AD21=1,OR(fBrand="All",D21=fBrand),OR(fCPU="All",O21=fCPU),OR(fGPU="All",Z21=fGPU),OR(fTier="All",AB21=fTier),OR(fRAM="All",R21=fRAM)),1,0)</f>
        <v>1</v>
      </c>
      <c r="AF21" s="39" t="n">
        <f aca="false">IF(AND(AE21=1,ISNUMBER(G21)),1,0)</f>
        <v>1</v>
      </c>
      <c r="AG21" s="39" t="n">
        <f aca="false">IF(AND(AE21=1,L21&gt;0),1,0)</f>
        <v>1</v>
      </c>
      <c r="AH21" s="40" t="n">
        <f aca="false">IF(AF21=1,G21,"")</f>
        <v>229</v>
      </c>
      <c r="AI21" s="39" t="str">
        <f aca="false">IF(COUNTIF($D$2:D21,D21)=1,MAX($AI$1:AI20)+1,"")</f>
        <v/>
      </c>
      <c r="AJ21" s="39" t="str">
        <f aca="false">IF(COUNTIF($P$2:P21,P21)=1,MAX($AJ$1:AJ20)+1,"")</f>
        <v/>
      </c>
      <c r="AK21" s="47" t="n">
        <f aca="false">IF(AG21=1,M21+ROW()/1000000000,"")</f>
        <v>4.35147060923529</v>
      </c>
      <c r="AL21" s="47" t="n">
        <f aca="false">IF(AND(AE21=1,I21&gt;0),I21+ROW()/1000000000,"")</f>
        <v>0.0458333543333333</v>
      </c>
      <c r="AM21" s="39" t="n">
        <f aca="false">IF(AND(AF21=1,ISNUMBER(W21),Z21="Dedicated"),1,0)</f>
        <v>1</v>
      </c>
      <c r="AN21" s="39" t="n">
        <f aca="false">SUM($AM$2:AM21)</f>
        <v>4</v>
      </c>
      <c r="AO21" s="39" t="n">
        <f aca="false">IF(AND(AF21=1,ISNUMBER(W21),Z21&lt;&gt;"Dedicated"),1,0)</f>
        <v>0</v>
      </c>
      <c r="AP21" s="39" t="n">
        <f aca="false">SUM($AO$2:AO21)</f>
        <v>14</v>
      </c>
      <c r="AQ21" s="39" t="n">
        <f aca="false">IF(AND(AF21=1,AG21=1),1,0)</f>
        <v>1</v>
      </c>
      <c r="AR21" s="39" t="n">
        <f aca="false">SUM($AQ$2:AQ21)</f>
        <v>20</v>
      </c>
      <c r="AS21" s="45" t="n">
        <f aca="false">IF(AQ21=1,G21,0)</f>
        <v>229</v>
      </c>
      <c r="AT21" s="45" t="n">
        <f aca="false">IF(AQ21=1,K21,0)</f>
        <v>4.3</v>
      </c>
      <c r="AU21" s="37" t="str">
        <f aca="false">TRIM(IF(Raw!N21="","weight missing; ","")&amp;IF(Raw!K21="","storage missing; ","")&amp;IF(ISNUMBER(FIND(" و ",Raw!K21)),"dual storage - SSD part used; ","")&amp;IF(ISNUMBER(SEARCH("TB",Raw!K21)),"storage written as TB; ","")&amp;IF(Raw!I21="","cpu missing; ","")&amp;IF(Raw!M21="","gpu missing; ","")&amp;IF(Raw!J21="","ram missing; ","")&amp;IF(Raw!L21="","screen missing; ",""))</f>
        <v/>
      </c>
    </row>
    <row r="22" customFormat="false" ht="15" hidden="false" customHeight="false" outlineLevel="0" collapsed="false">
      <c r="A22" s="39" t="n">
        <f aca="false">Raw!A22</f>
        <v>62437</v>
      </c>
      <c r="B22" s="37" t="str">
        <f aca="false">Raw!B22</f>
        <v>لپ تاپ لنوو 15.6 اینچی IdeaPad Slim 3 R3 7320U 8GB 512GB</v>
      </c>
      <c r="C22" s="37" t="str">
        <f aca="false">LOWER(TRIM(Raw!C22))</f>
        <v>lenovo</v>
      </c>
      <c r="D22" s="37" t="str">
        <f aca="false">IFERROR(INDEX(Params!$B$5:$B$13,MATCH(C22,Params!$A$5:$A$13,0)),PROPER(C22))</f>
        <v>Lenovo</v>
      </c>
      <c r="E22" s="37" t="str">
        <f aca="false">IF(Raw!F22,"Available","Out of stock")</f>
        <v>Available</v>
      </c>
      <c r="F22" s="43" t="n">
        <f aca="false">IF(Raw!D22="","",Raw!D22)</f>
        <v>126000000</v>
      </c>
      <c r="G22" s="40" t="n">
        <f aca="false">IF(ISNUMBER(F22),F22/1000000,"")</f>
        <v>126</v>
      </c>
      <c r="H22" s="43" t="str">
        <f aca="false">IF(Raw!E22="","",Raw!E22)</f>
        <v/>
      </c>
      <c r="I22" s="42" t="n">
        <f aca="false">IF(AND(ISNUMBER(H22),ISNUMBER(F22)),IF(H22&gt;F22,(H22-F22)/H22,0),0)</f>
        <v>0</v>
      </c>
      <c r="J22" s="39" t="n">
        <f aca="false">IF(I22&gt;0,1,0)</f>
        <v>0</v>
      </c>
      <c r="K22" s="45" t="n">
        <f aca="false">Raw!G22</f>
        <v>4.3</v>
      </c>
      <c r="L22" s="39" t="n">
        <f aca="false">Raw!H22</f>
        <v>20</v>
      </c>
      <c r="M22" s="41" t="n">
        <f aca="false">IF(L22&gt;0,(L22*K22+p_m*p_c)/(L22+p_m),"")</f>
        <v>4.35833333333333</v>
      </c>
      <c r="N22" s="37" t="str">
        <f aca="false">IF(Raw!I22="","",TRIM(Raw!I22))</f>
        <v>Ryzen 3 7320U</v>
      </c>
      <c r="O22" s="37" t="str">
        <f aca="false">IF(N22="","Unknown",IF(LEFT(N22,5)="Apple","Apple",IF(LEFT(N22,5)="Ryzen","AMD","Intel")))</f>
        <v>AMD</v>
      </c>
      <c r="P22" s="37" t="str">
        <f aca="false">IF(N22="","Unknown",IF(LEFT(N22,5)="Apple","Apple Silicon",IF(LEFT(N22,8)="Ryzen AI","Ryzen AI",TRIM(LEFT(N22,7)))))</f>
        <v>Ryzen 3</v>
      </c>
      <c r="Q22" s="39" t="n">
        <f aca="false">IFERROR(VALUE(LEFT(Raw!J22,FIND(" ",Raw!J22)-1)),"")</f>
        <v>8</v>
      </c>
      <c r="R22" s="37" t="str">
        <f aca="false">IF(NOT(ISNUMBER(Q22)),"Unknown",IF(Q22&lt;=8,"≤ 8 GB",IF(Q22&lt;=16,"12–16 GB","20 GB +")))</f>
        <v>≤ 8 GB</v>
      </c>
      <c r="S22" s="37" t="str">
        <f aca="false">IF(Raw!K22="","",IF(ISNUMBER(FIND(" و ",Raw!K22)),TRIM(MID(Raw!K22,FIND(" و ",Raw!K22)+3,100)),TRIM(Raw!K22)))</f>
        <v>512 گیگابایت</v>
      </c>
      <c r="T22" s="43" t="n">
        <f aca="false">IF(S22="","",IFERROR(IFERROR(VALUE(LEFT(S22,FIND(" ",S22)-1)),VALUE(LEFT(S22,LEN(S22)-2)))*IF(OR(ISNUMBER(SEARCH("ترابایت",S22)),ISNUMBER(SEARCH("TB",S22))),1024,1),""))</f>
        <v>512</v>
      </c>
      <c r="U22" s="37" t="str">
        <f aca="false">IF(NOT(ISNUMBER(T22)),"Unknown",IF(T22&lt;=256,"≤ 256 GB",IF(T22&lt;=512,"512 GB","1 TB +")))</f>
        <v>512 GB</v>
      </c>
      <c r="V22" s="45" t="n">
        <f aca="false">IFERROR(VALUE(SUBSTITUTE(LEFT(Raw!L22,FIND(" ",Raw!L22)-1),".",MID(1/2,2,1))),"")</f>
        <v>15.6</v>
      </c>
      <c r="W22" s="41" t="n">
        <f aca="false">IFERROR(VALUE(SUBSTITUTE(LEFT(Raw!N22,FIND(" ",Raw!N22)-1),".",MID(1/2,2,1))),"")</f>
        <v>1.6</v>
      </c>
      <c r="X22" s="37" t="str">
        <f aca="false">IF(Raw!M22="","",TRIM(Raw!M22))</f>
        <v>AMD Radeon 610M</v>
      </c>
      <c r="Y22" s="37" t="str">
        <f aca="false">IF(X22="","Unknown",IF(ISNUMBER(SEARCH("nvidia",X22)),"NVIDIA",IF(ISNUMBER(SEARCH("amd",X22)),"AMD",IF(ISNUMBER(SEARCH("apple",X22)),"Apple",IF(ISNUMBER(SEARCH("intel",X22)),"Intel","Other")))))</f>
        <v>AMD</v>
      </c>
      <c r="Z22" s="37" t="str">
        <f aca="false">IF(X22="","Unknown",IF(ISNUMBER(SEARCH("RTX",X22))+ISNUMBER(SEARCH("GTX",X22))+ISNUMBER(SEARCH("nvidia",X22))+ISNUMBER(SEARCH("Radeon RX",X22))&gt;0,"Dedicated","Integrated"))</f>
        <v>Integrated</v>
      </c>
      <c r="AA22" s="37" t="str">
        <f aca="false">IF(ISNUMBER(SEARCH("RTX",X22)),TRIM(MID(X22,SEARCH("RTX",X22),8)),IF(X22="","Unknown",IF(Z22="Dedicated","Dedicated (model n/a)","Integrated")))</f>
        <v>Integrated</v>
      </c>
      <c r="AB22" s="37" t="str">
        <f aca="false">IF(ISNUMBER(G22),INDEX(Params!$E$5:$E$9,MATCH(G22,Params!$D$5:$D$9,1)),"Unknown")</f>
        <v>100–200 M</v>
      </c>
      <c r="AC22" s="45" t="n">
        <f aca="false">IF(AND(ISNUMBER(G22),ISNUMBER(Q22)),IF(Q22&gt;0,G22/Q22,""),"")</f>
        <v>15.75</v>
      </c>
      <c r="AD22" s="39" t="n">
        <f aca="false">IF(OR(p_excl=0,ISNUMBER(SEARCH("لپ",B22))),1,0)</f>
        <v>1</v>
      </c>
      <c r="AE22" s="39" t="n">
        <f aca="false">IF(AND(AD22=1,OR(fBrand="All",D22=fBrand),OR(fCPU="All",O22=fCPU),OR(fGPU="All",Z22=fGPU),OR(fTier="All",AB22=fTier),OR(fRAM="All",R22=fRAM)),1,0)</f>
        <v>1</v>
      </c>
      <c r="AF22" s="39" t="n">
        <f aca="false">IF(AND(AE22=1,ISNUMBER(G22)),1,0)</f>
        <v>1</v>
      </c>
      <c r="AG22" s="39" t="n">
        <f aca="false">IF(AND(AE22=1,L22&gt;0),1,0)</f>
        <v>1</v>
      </c>
      <c r="AH22" s="40" t="n">
        <f aca="false">IF(AF22=1,G22,"")</f>
        <v>126</v>
      </c>
      <c r="AI22" s="39" t="str">
        <f aca="false">IF(COUNTIF($D$2:D22,D22)=1,MAX($AI$1:AI21)+1,"")</f>
        <v/>
      </c>
      <c r="AJ22" s="39" t="n">
        <f aca="false">IF(COUNTIF($P$2:P22,P22)=1,MAX($AJ$1:AJ21)+1,"")</f>
        <v>10</v>
      </c>
      <c r="AK22" s="47" t="n">
        <f aca="false">IF(AG22=1,M22+ROW()/1000000000,"")</f>
        <v>4.35833335533333</v>
      </c>
      <c r="AL22" s="47" t="str">
        <f aca="false">IF(AND(AE22=1,I22&gt;0),I22+ROW()/1000000000,"")</f>
        <v/>
      </c>
      <c r="AM22" s="39" t="n">
        <f aca="false">IF(AND(AF22=1,ISNUMBER(W22),Z22="Dedicated"),1,0)</f>
        <v>0</v>
      </c>
      <c r="AN22" s="39" t="n">
        <f aca="false">SUM($AM$2:AM22)</f>
        <v>4</v>
      </c>
      <c r="AO22" s="39" t="n">
        <f aca="false">IF(AND(AF22=1,ISNUMBER(W22),Z22&lt;&gt;"Dedicated"),1,0)</f>
        <v>1</v>
      </c>
      <c r="AP22" s="39" t="n">
        <f aca="false">SUM($AO$2:AO22)</f>
        <v>15</v>
      </c>
      <c r="AQ22" s="39" t="n">
        <f aca="false">IF(AND(AF22=1,AG22=1),1,0)</f>
        <v>1</v>
      </c>
      <c r="AR22" s="39" t="n">
        <f aca="false">SUM($AQ$2:AQ22)</f>
        <v>21</v>
      </c>
      <c r="AS22" s="45" t="n">
        <f aca="false">IF(AQ22=1,G22,0)</f>
        <v>126</v>
      </c>
      <c r="AT22" s="45" t="n">
        <f aca="false">IF(AQ22=1,K22,0)</f>
        <v>4.3</v>
      </c>
      <c r="AU22" s="37" t="str">
        <f aca="false">TRIM(IF(Raw!N22="","weight missing; ","")&amp;IF(Raw!K22="","storage missing; ","")&amp;IF(ISNUMBER(FIND(" و ",Raw!K22)),"dual storage - SSD part used; ","")&amp;IF(ISNUMBER(SEARCH("TB",Raw!K22)),"storage written as TB; ","")&amp;IF(Raw!I22="","cpu missing; ","")&amp;IF(Raw!M22="","gpu missing; ","")&amp;IF(Raw!J22="","ram missing; ","")&amp;IF(Raw!L22="","screen missing; ",""))</f>
        <v/>
      </c>
    </row>
    <row r="23" customFormat="false" ht="15" hidden="false" customHeight="false" outlineLevel="0" collapsed="false">
      <c r="A23" s="39" t="n">
        <f aca="false">Raw!A23</f>
        <v>517770</v>
      </c>
      <c r="B23" s="37" t="str">
        <f aca="false">Raw!B23</f>
        <v>لپ تاپ ایسوس 15.6 اینچی مدل Vivobook X1504VA Core 7 150U 8GB 512GB IPS</v>
      </c>
      <c r="C23" s="37" t="str">
        <f aca="false">LOWER(TRIM(Raw!C23))</f>
        <v>asus</v>
      </c>
      <c r="D23" s="37" t="str">
        <f aca="false">IFERROR(INDEX(Params!$B$5:$B$13,MATCH(C23,Params!$A$5:$A$13,0)),PROPER(C23))</f>
        <v>ASUS</v>
      </c>
      <c r="E23" s="37" t="str">
        <f aca="false">IF(Raw!F23,"Available","Out of stock")</f>
        <v>Available</v>
      </c>
      <c r="F23" s="43" t="n">
        <f aca="false">IF(Raw!D23="","",Raw!D23)</f>
        <v>182000000</v>
      </c>
      <c r="G23" s="40" t="n">
        <f aca="false">IF(ISNUMBER(F23),F23/1000000,"")</f>
        <v>182</v>
      </c>
      <c r="H23" s="43" t="str">
        <f aca="false">IF(Raw!E23="","",Raw!E23)</f>
        <v/>
      </c>
      <c r="I23" s="42" t="n">
        <f aca="false">IF(AND(ISNUMBER(H23),ISNUMBER(F23)),IF(H23&gt;F23,(H23-F23)/H23,0),0)</f>
        <v>0</v>
      </c>
      <c r="J23" s="39" t="n">
        <f aca="false">IF(I23&gt;0,1,0)</f>
        <v>0</v>
      </c>
      <c r="K23" s="45" t="n">
        <f aca="false">Raw!G23</f>
        <v>3</v>
      </c>
      <c r="L23" s="39" t="n">
        <f aca="false">Raw!H23</f>
        <v>1</v>
      </c>
      <c r="M23" s="41" t="n">
        <f aca="false">IF(L23&gt;0,(L23*K23+p_m*p_c)/(L23+p_m),"")</f>
        <v>4.34090909090909</v>
      </c>
      <c r="N23" s="37" t="str">
        <f aca="false">IF(Raw!I23="","",TRIM(Raw!I23))</f>
        <v>Core 7 150U</v>
      </c>
      <c r="O23" s="37" t="str">
        <f aca="false">IF(N23="","Unknown",IF(LEFT(N23,5)="Apple","Apple",IF(LEFT(N23,5)="Ryzen","AMD","Intel")))</f>
        <v>Intel</v>
      </c>
      <c r="P23" s="37" t="str">
        <f aca="false">IF(N23="","Unknown",IF(LEFT(N23,5)="Apple","Apple Silicon",IF(LEFT(N23,8)="Ryzen AI","Ryzen AI",TRIM(LEFT(N23,7)))))</f>
        <v>Core 7</v>
      </c>
      <c r="Q23" s="39" t="n">
        <f aca="false">IFERROR(VALUE(LEFT(Raw!J23,FIND(" ",Raw!J23)-1)),"")</f>
        <v>8</v>
      </c>
      <c r="R23" s="37" t="str">
        <f aca="false">IF(NOT(ISNUMBER(Q23)),"Unknown",IF(Q23&lt;=8,"≤ 8 GB",IF(Q23&lt;=16,"12–16 GB","20 GB +")))</f>
        <v>≤ 8 GB</v>
      </c>
      <c r="S23" s="37" t="str">
        <f aca="false">IF(Raw!K23="","",IF(ISNUMBER(FIND(" و ",Raw!K23)),TRIM(MID(Raw!K23,FIND(" و ",Raw!K23)+3,100)),TRIM(Raw!K23)))</f>
        <v>512 گیگابایت</v>
      </c>
      <c r="T23" s="43" t="n">
        <f aca="false">IF(S23="","",IFERROR(IFERROR(VALUE(LEFT(S23,FIND(" ",S23)-1)),VALUE(LEFT(S23,LEN(S23)-2)))*IF(OR(ISNUMBER(SEARCH("ترابایت",S23)),ISNUMBER(SEARCH("TB",S23))),1024,1),""))</f>
        <v>512</v>
      </c>
      <c r="U23" s="37" t="str">
        <f aca="false">IF(NOT(ISNUMBER(T23)),"Unknown",IF(T23&lt;=256,"≤ 256 GB",IF(T23&lt;=512,"512 GB","1 TB +")))</f>
        <v>512 GB</v>
      </c>
      <c r="V23" s="45" t="n">
        <f aca="false">IFERROR(VALUE(SUBSTITUTE(LEFT(Raw!L23,FIND(" ",Raw!L23)-1),".",MID(1/2,2,1))),"")</f>
        <v>15.6</v>
      </c>
      <c r="W23" s="41" t="n">
        <f aca="false">IFERROR(VALUE(SUBSTITUTE(LEFT(Raw!N23,FIND(" ",Raw!N23)-1),".",MID(1/2,2,1))),"")</f>
        <v>1.7</v>
      </c>
      <c r="X23" s="37" t="str">
        <f aca="false">IF(Raw!M23="","",TRIM(Raw!M23))</f>
        <v>Intel</v>
      </c>
      <c r="Y23" s="37" t="str">
        <f aca="false">IF(X23="","Unknown",IF(ISNUMBER(SEARCH("nvidia",X23)),"NVIDIA",IF(ISNUMBER(SEARCH("amd",X23)),"AMD",IF(ISNUMBER(SEARCH("apple",X23)),"Apple",IF(ISNUMBER(SEARCH("intel",X23)),"Intel","Other")))))</f>
        <v>Intel</v>
      </c>
      <c r="Z23" s="37" t="str">
        <f aca="false">IF(X23="","Unknown",IF(ISNUMBER(SEARCH("RTX",X23))+ISNUMBER(SEARCH("GTX",X23))+ISNUMBER(SEARCH("nvidia",X23))+ISNUMBER(SEARCH("Radeon RX",X23))&gt;0,"Dedicated","Integrated"))</f>
        <v>Integrated</v>
      </c>
      <c r="AA23" s="37" t="str">
        <f aca="false">IF(ISNUMBER(SEARCH("RTX",X23)),TRIM(MID(X23,SEARCH("RTX",X23),8)),IF(X23="","Unknown",IF(Z23="Dedicated","Dedicated (model n/a)","Integrated")))</f>
        <v>Integrated</v>
      </c>
      <c r="AB23" s="37" t="str">
        <f aca="false">IF(ISNUMBER(G23),INDEX(Params!$E$5:$E$9,MATCH(G23,Params!$D$5:$D$9,1)),"Unknown")</f>
        <v>100–200 M</v>
      </c>
      <c r="AC23" s="45" t="n">
        <f aca="false">IF(AND(ISNUMBER(G23),ISNUMBER(Q23)),IF(Q23&gt;0,G23/Q23,""),"")</f>
        <v>22.75</v>
      </c>
      <c r="AD23" s="39" t="n">
        <f aca="false">IF(OR(p_excl=0,ISNUMBER(SEARCH("لپ",B23))),1,0)</f>
        <v>1</v>
      </c>
      <c r="AE23" s="39" t="n">
        <f aca="false">IF(AND(AD23=1,OR(fBrand="All",D23=fBrand),OR(fCPU="All",O23=fCPU),OR(fGPU="All",Z23=fGPU),OR(fTier="All",AB23=fTier),OR(fRAM="All",R23=fRAM)),1,0)</f>
        <v>1</v>
      </c>
      <c r="AF23" s="39" t="n">
        <f aca="false">IF(AND(AE23=1,ISNUMBER(G23)),1,0)</f>
        <v>1</v>
      </c>
      <c r="AG23" s="39" t="n">
        <f aca="false">IF(AND(AE23=1,L23&gt;0),1,0)</f>
        <v>1</v>
      </c>
      <c r="AH23" s="40" t="n">
        <f aca="false">IF(AF23=1,G23,"")</f>
        <v>182</v>
      </c>
      <c r="AI23" s="39" t="str">
        <f aca="false">IF(COUNTIF($D$2:D23,D23)=1,MAX($AI$1:AI22)+1,"")</f>
        <v/>
      </c>
      <c r="AJ23" s="39" t="str">
        <f aca="false">IF(COUNTIF($P$2:P23,P23)=1,MAX($AJ$1:AJ22)+1,"")</f>
        <v/>
      </c>
      <c r="AK23" s="47" t="n">
        <f aca="false">IF(AG23=1,M23+ROW()/1000000000,"")</f>
        <v>4.34090911390909</v>
      </c>
      <c r="AL23" s="47" t="str">
        <f aca="false">IF(AND(AE23=1,I23&gt;0),I23+ROW()/1000000000,"")</f>
        <v/>
      </c>
      <c r="AM23" s="39" t="n">
        <f aca="false">IF(AND(AF23=1,ISNUMBER(W23),Z23="Dedicated"),1,0)</f>
        <v>0</v>
      </c>
      <c r="AN23" s="39" t="n">
        <f aca="false">SUM($AM$2:AM23)</f>
        <v>4</v>
      </c>
      <c r="AO23" s="39" t="n">
        <f aca="false">IF(AND(AF23=1,ISNUMBER(W23),Z23&lt;&gt;"Dedicated"),1,0)</f>
        <v>1</v>
      </c>
      <c r="AP23" s="39" t="n">
        <f aca="false">SUM($AO$2:AO23)</f>
        <v>16</v>
      </c>
      <c r="AQ23" s="39" t="n">
        <f aca="false">IF(AND(AF23=1,AG23=1),1,0)</f>
        <v>1</v>
      </c>
      <c r="AR23" s="39" t="n">
        <f aca="false">SUM($AQ$2:AQ23)</f>
        <v>22</v>
      </c>
      <c r="AS23" s="45" t="n">
        <f aca="false">IF(AQ23=1,G23,0)</f>
        <v>182</v>
      </c>
      <c r="AT23" s="45" t="n">
        <f aca="false">IF(AQ23=1,K23,0)</f>
        <v>3</v>
      </c>
      <c r="AU23" s="37" t="str">
        <f aca="false">TRIM(IF(Raw!N23="","weight missing; ","")&amp;IF(Raw!K23="","storage missing; ","")&amp;IF(ISNUMBER(FIND(" و ",Raw!K23)),"dual storage - SSD part used; ","")&amp;IF(ISNUMBER(SEARCH("TB",Raw!K23)),"storage written as TB; ","")&amp;IF(Raw!I23="","cpu missing; ","")&amp;IF(Raw!M23="","gpu missing; ","")&amp;IF(Raw!J23="","ram missing; ","")&amp;IF(Raw!L23="","screen missing; ",""))</f>
        <v/>
      </c>
    </row>
    <row r="24" customFormat="false" ht="15" hidden="false" customHeight="false" outlineLevel="0" collapsed="false">
      <c r="A24" s="39" t="n">
        <f aca="false">Raw!A24</f>
        <v>430767</v>
      </c>
      <c r="B24" s="37" t="str">
        <f aca="false">Raw!B24</f>
        <v>لپ تاپ ایسوس 15.6 اینچی مدل VivoBook E1504FA R5 7520U 8GB 512GB IPS</v>
      </c>
      <c r="C24" s="37" t="str">
        <f aca="false">LOWER(TRIM(Raw!C24))</f>
        <v>asus</v>
      </c>
      <c r="D24" s="37" t="str">
        <f aca="false">IFERROR(INDEX(Params!$B$5:$B$13,MATCH(C24,Params!$A$5:$A$13,0)),PROPER(C24))</f>
        <v>ASUS</v>
      </c>
      <c r="E24" s="37" t="str">
        <f aca="false">IF(Raw!F24,"Available","Out of stock")</f>
        <v>Available</v>
      </c>
      <c r="F24" s="43" t="n">
        <f aca="false">IF(Raw!D24="","",Raw!D24)</f>
        <v>142000000</v>
      </c>
      <c r="G24" s="40" t="n">
        <f aca="false">IF(ISNUMBER(F24),F24/1000000,"")</f>
        <v>142</v>
      </c>
      <c r="H24" s="43" t="str">
        <f aca="false">IF(Raw!E24="","",Raw!E24)</f>
        <v/>
      </c>
      <c r="I24" s="42" t="n">
        <f aca="false">IF(AND(ISNUMBER(H24),ISNUMBER(F24)),IF(H24&gt;F24,(H24-F24)/H24,0),0)</f>
        <v>0</v>
      </c>
      <c r="J24" s="39" t="n">
        <f aca="false">IF(I24&gt;0,1,0)</f>
        <v>0</v>
      </c>
      <c r="K24" s="45" t="n">
        <f aca="false">Raw!G24</f>
        <v>5</v>
      </c>
      <c r="L24" s="39" t="n">
        <f aca="false">Raw!H24</f>
        <v>1</v>
      </c>
      <c r="M24" s="41" t="n">
        <f aca="false">IF(L24&gt;0,(L24*K24+p_m*p_c)/(L24+p_m),"")</f>
        <v>4.52272727272727</v>
      </c>
      <c r="N24" s="37" t="str">
        <f aca="false">IF(Raw!I24="","",TRIM(Raw!I24))</f>
        <v>Ryzen 5 7520U</v>
      </c>
      <c r="O24" s="37" t="str">
        <f aca="false">IF(N24="","Unknown",IF(LEFT(N24,5)="Apple","Apple",IF(LEFT(N24,5)="Ryzen","AMD","Intel")))</f>
        <v>AMD</v>
      </c>
      <c r="P24" s="37" t="str">
        <f aca="false">IF(N24="","Unknown",IF(LEFT(N24,5)="Apple","Apple Silicon",IF(LEFT(N24,8)="Ryzen AI","Ryzen AI",TRIM(LEFT(N24,7)))))</f>
        <v>Ryzen 5</v>
      </c>
      <c r="Q24" s="39" t="n">
        <f aca="false">IFERROR(VALUE(LEFT(Raw!J24,FIND(" ",Raw!J24)-1)),"")</f>
        <v>8</v>
      </c>
      <c r="R24" s="37" t="str">
        <f aca="false">IF(NOT(ISNUMBER(Q24)),"Unknown",IF(Q24&lt;=8,"≤ 8 GB",IF(Q24&lt;=16,"12–16 GB","20 GB +")))</f>
        <v>≤ 8 GB</v>
      </c>
      <c r="S24" s="37" t="str">
        <f aca="false">IF(Raw!K24="","",IF(ISNUMBER(FIND(" و ",Raw!K24)),TRIM(MID(Raw!K24,FIND(" و ",Raw!K24)+3,100)),TRIM(Raw!K24)))</f>
        <v>512 گیگابایت</v>
      </c>
      <c r="T24" s="43" t="n">
        <f aca="false">IF(S24="","",IFERROR(IFERROR(VALUE(LEFT(S24,FIND(" ",S24)-1)),VALUE(LEFT(S24,LEN(S24)-2)))*IF(OR(ISNUMBER(SEARCH("ترابایت",S24)),ISNUMBER(SEARCH("TB",S24))),1024,1),""))</f>
        <v>512</v>
      </c>
      <c r="U24" s="37" t="str">
        <f aca="false">IF(NOT(ISNUMBER(T24)),"Unknown",IF(T24&lt;=256,"≤ 256 GB",IF(T24&lt;=512,"512 GB","1 TB +")))</f>
        <v>512 GB</v>
      </c>
      <c r="V24" s="45" t="n">
        <f aca="false">IFERROR(VALUE(SUBSTITUTE(LEFT(Raw!L24,FIND(" ",Raw!L24)-1),".",MID(1/2,2,1))),"")</f>
        <v>15.6</v>
      </c>
      <c r="W24" s="41" t="n">
        <f aca="false">IFERROR(VALUE(SUBSTITUTE(LEFT(Raw!N24,FIND(" ",Raw!N24)-1),".",MID(1/2,2,1))),"")</f>
        <v>1.6</v>
      </c>
      <c r="X24" s="37" t="str">
        <f aca="false">IF(Raw!M24="","",TRIM(Raw!M24))</f>
        <v>AMD Radeon Graphics</v>
      </c>
      <c r="Y24" s="37" t="str">
        <f aca="false">IF(X24="","Unknown",IF(ISNUMBER(SEARCH("nvidia",X24)),"NVIDIA",IF(ISNUMBER(SEARCH("amd",X24)),"AMD",IF(ISNUMBER(SEARCH("apple",X24)),"Apple",IF(ISNUMBER(SEARCH("intel",X24)),"Intel","Other")))))</f>
        <v>AMD</v>
      </c>
      <c r="Z24" s="37" t="str">
        <f aca="false">IF(X24="","Unknown",IF(ISNUMBER(SEARCH("RTX",X24))+ISNUMBER(SEARCH("GTX",X24))+ISNUMBER(SEARCH("nvidia",X24))+ISNUMBER(SEARCH("Radeon RX",X24))&gt;0,"Dedicated","Integrated"))</f>
        <v>Integrated</v>
      </c>
      <c r="AA24" s="37" t="str">
        <f aca="false">IF(ISNUMBER(SEARCH("RTX",X24)),TRIM(MID(X24,SEARCH("RTX",X24),8)),IF(X24="","Unknown",IF(Z24="Dedicated","Dedicated (model n/a)","Integrated")))</f>
        <v>Integrated</v>
      </c>
      <c r="AB24" s="37" t="str">
        <f aca="false">IF(ISNUMBER(G24),INDEX(Params!$E$5:$E$9,MATCH(G24,Params!$D$5:$D$9,1)),"Unknown")</f>
        <v>100–200 M</v>
      </c>
      <c r="AC24" s="45" t="n">
        <f aca="false">IF(AND(ISNUMBER(G24),ISNUMBER(Q24)),IF(Q24&gt;0,G24/Q24,""),"")</f>
        <v>17.75</v>
      </c>
      <c r="AD24" s="39" t="n">
        <f aca="false">IF(OR(p_excl=0,ISNUMBER(SEARCH("لپ",B24))),1,0)</f>
        <v>1</v>
      </c>
      <c r="AE24" s="39" t="n">
        <f aca="false">IF(AND(AD24=1,OR(fBrand="All",D24=fBrand),OR(fCPU="All",O24=fCPU),OR(fGPU="All",Z24=fGPU),OR(fTier="All",AB24=fTier),OR(fRAM="All",R24=fRAM)),1,0)</f>
        <v>1</v>
      </c>
      <c r="AF24" s="39" t="n">
        <f aca="false">IF(AND(AE24=1,ISNUMBER(G24)),1,0)</f>
        <v>1</v>
      </c>
      <c r="AG24" s="39" t="n">
        <f aca="false">IF(AND(AE24=1,L24&gt;0),1,0)</f>
        <v>1</v>
      </c>
      <c r="AH24" s="40" t="n">
        <f aca="false">IF(AF24=1,G24,"")</f>
        <v>142</v>
      </c>
      <c r="AI24" s="39" t="str">
        <f aca="false">IF(COUNTIF($D$2:D24,D24)=1,MAX($AI$1:AI23)+1,"")</f>
        <v/>
      </c>
      <c r="AJ24" s="39" t="str">
        <f aca="false">IF(COUNTIF($P$2:P24,P24)=1,MAX($AJ$1:AJ23)+1,"")</f>
        <v/>
      </c>
      <c r="AK24" s="47" t="n">
        <f aca="false">IF(AG24=1,M24+ROW()/1000000000,"")</f>
        <v>4.52272729672727</v>
      </c>
      <c r="AL24" s="47" t="str">
        <f aca="false">IF(AND(AE24=1,I24&gt;0),I24+ROW()/1000000000,"")</f>
        <v/>
      </c>
      <c r="AM24" s="39" t="n">
        <f aca="false">IF(AND(AF24=1,ISNUMBER(W24),Z24="Dedicated"),1,0)</f>
        <v>0</v>
      </c>
      <c r="AN24" s="39" t="n">
        <f aca="false">SUM($AM$2:AM24)</f>
        <v>4</v>
      </c>
      <c r="AO24" s="39" t="n">
        <f aca="false">IF(AND(AF24=1,ISNUMBER(W24),Z24&lt;&gt;"Dedicated"),1,0)</f>
        <v>1</v>
      </c>
      <c r="AP24" s="39" t="n">
        <f aca="false">SUM($AO$2:AO24)</f>
        <v>17</v>
      </c>
      <c r="AQ24" s="39" t="n">
        <f aca="false">IF(AND(AF24=1,AG24=1),1,0)</f>
        <v>1</v>
      </c>
      <c r="AR24" s="39" t="n">
        <f aca="false">SUM($AQ$2:AQ24)</f>
        <v>23</v>
      </c>
      <c r="AS24" s="45" t="n">
        <f aca="false">IF(AQ24=1,G24,0)</f>
        <v>142</v>
      </c>
      <c r="AT24" s="45" t="n">
        <f aca="false">IF(AQ24=1,K24,0)</f>
        <v>5</v>
      </c>
      <c r="AU24" s="37" t="str">
        <f aca="false">TRIM(IF(Raw!N24="","weight missing; ","")&amp;IF(Raw!K24="","storage missing; ","")&amp;IF(ISNUMBER(FIND(" و ",Raw!K24)),"dual storage - SSD part used; ","")&amp;IF(ISNUMBER(SEARCH("TB",Raw!K24)),"storage written as TB; ","")&amp;IF(Raw!I24="","cpu missing; ","")&amp;IF(Raw!M24="","gpu missing; ","")&amp;IF(Raw!J24="","ram missing; ","")&amp;IF(Raw!L24="","screen missing; ",""))</f>
        <v/>
      </c>
    </row>
    <row r="25" customFormat="false" ht="15" hidden="false" customHeight="false" outlineLevel="0" collapsed="false">
      <c r="A25" s="39" t="n">
        <f aca="false">Raw!A25</f>
        <v>259579</v>
      </c>
      <c r="B25" s="37" t="str">
        <f aca="false">Raw!B25</f>
        <v>لپ تاپ ام اس آی 15.6 اینچی مدل KATANA 15 HX B14WFK Core i7 14650HX 16GB 1TB RTX 5060</v>
      </c>
      <c r="C25" s="37" t="str">
        <f aca="false">LOWER(TRIM(Raw!C25))</f>
        <v>msi</v>
      </c>
      <c r="D25" s="37" t="str">
        <f aca="false">IFERROR(INDEX(Params!$B$5:$B$13,MATCH(C25,Params!$A$5:$A$13,0)),PROPER(C25))</f>
        <v>MSI</v>
      </c>
      <c r="E25" s="37" t="str">
        <f aca="false">IF(Raw!F25,"Available","Out of stock")</f>
        <v>Available</v>
      </c>
      <c r="F25" s="43" t="n">
        <f aca="false">IF(Raw!D25="","",Raw!D25)</f>
        <v>400000000</v>
      </c>
      <c r="G25" s="40" t="n">
        <f aca="false">IF(ISNUMBER(F25),F25/1000000,"")</f>
        <v>400</v>
      </c>
      <c r="H25" s="43" t="str">
        <f aca="false">IF(Raw!E25="","",Raw!E25)</f>
        <v/>
      </c>
      <c r="I25" s="42" t="n">
        <f aca="false">IF(AND(ISNUMBER(H25),ISNUMBER(F25)),IF(H25&gt;F25,(H25-F25)/H25,0),0)</f>
        <v>0</v>
      </c>
      <c r="J25" s="39" t="n">
        <f aca="false">IF(I25&gt;0,1,0)</f>
        <v>0</v>
      </c>
      <c r="K25" s="45" t="n">
        <f aca="false">Raw!G25</f>
        <v>4.5</v>
      </c>
      <c r="L25" s="39" t="n">
        <f aca="false">Raw!H25</f>
        <v>2</v>
      </c>
      <c r="M25" s="41" t="n">
        <f aca="false">IF(L25&gt;0,(L25*K25+p_m*p_c)/(L25+p_m),"")</f>
        <v>4.47916666666667</v>
      </c>
      <c r="N25" s="37" t="str">
        <f aca="false">IF(Raw!I25="","",TRIM(Raw!I25))</f>
        <v>Core i7 14650HX</v>
      </c>
      <c r="O25" s="37" t="str">
        <f aca="false">IF(N25="","Unknown",IF(LEFT(N25,5)="Apple","Apple",IF(LEFT(N25,5)="Ryzen","AMD","Intel")))</f>
        <v>Intel</v>
      </c>
      <c r="P25" s="37" t="str">
        <f aca="false">IF(N25="","Unknown",IF(LEFT(N25,5)="Apple","Apple Silicon",IF(LEFT(N25,8)="Ryzen AI","Ryzen AI",TRIM(LEFT(N25,7)))))</f>
        <v>Core i7</v>
      </c>
      <c r="Q25" s="39" t="n">
        <f aca="false">IFERROR(VALUE(LEFT(Raw!J25,FIND(" ",Raw!J25)-1)),"")</f>
        <v>16</v>
      </c>
      <c r="R25" s="37" t="str">
        <f aca="false">IF(NOT(ISNUMBER(Q25)),"Unknown",IF(Q25&lt;=8,"≤ 8 GB",IF(Q25&lt;=16,"12–16 GB","20 GB +")))</f>
        <v>12–16 GB</v>
      </c>
      <c r="S25" s="37" t="str">
        <f aca="false">IF(Raw!K25="","",IF(ISNUMBER(FIND(" و ",Raw!K25)),TRIM(MID(Raw!K25,FIND(" و ",Raw!K25)+3,100)),TRIM(Raw!K25)))</f>
        <v>1 ترابایت</v>
      </c>
      <c r="T25" s="43" t="n">
        <f aca="false">IF(S25="","",IFERROR(IFERROR(VALUE(LEFT(S25,FIND(" ",S25)-1)),VALUE(LEFT(S25,LEN(S25)-2)))*IF(OR(ISNUMBER(SEARCH("ترابایت",S25)),ISNUMBER(SEARCH("TB",S25))),1024,1),""))</f>
        <v>1024</v>
      </c>
      <c r="U25" s="37" t="str">
        <f aca="false">IF(NOT(ISNUMBER(T25)),"Unknown",IF(T25&lt;=256,"≤ 256 GB",IF(T25&lt;=512,"512 GB","1 TB +")))</f>
        <v>1 TB +</v>
      </c>
      <c r="V25" s="45" t="n">
        <f aca="false">IFERROR(VALUE(SUBSTITUTE(LEFT(Raw!L25,FIND(" ",Raw!L25)-1),".",MID(1/2,2,1))),"")</f>
        <v>15.6</v>
      </c>
      <c r="W25" s="41" t="n">
        <f aca="false">IFERROR(VALUE(SUBSTITUTE(LEFT(Raw!N25,FIND(" ",Raw!N25)-1),".",MID(1/2,2,1))),"")</f>
        <v>2.4</v>
      </c>
      <c r="X25" s="37" t="str">
        <f aca="false">IF(Raw!M25="","",TRIM(Raw!M25))</f>
        <v>NVIDIA GeForce RTX 5060</v>
      </c>
      <c r="Y25" s="37" t="str">
        <f aca="false">IF(X25="","Unknown",IF(ISNUMBER(SEARCH("nvidia",X25)),"NVIDIA",IF(ISNUMBER(SEARCH("amd",X25)),"AMD",IF(ISNUMBER(SEARCH("apple",X25)),"Apple",IF(ISNUMBER(SEARCH("intel",X25)),"Intel","Other")))))</f>
        <v>NVIDIA</v>
      </c>
      <c r="Z25" s="37" t="str">
        <f aca="false">IF(X25="","Unknown",IF(ISNUMBER(SEARCH("RTX",X25))+ISNUMBER(SEARCH("GTX",X25))+ISNUMBER(SEARCH("nvidia",X25))+ISNUMBER(SEARCH("Radeon RX",X25))&gt;0,"Dedicated","Integrated"))</f>
        <v>Dedicated</v>
      </c>
      <c r="AA25" s="37" t="str">
        <f aca="false">IF(ISNUMBER(SEARCH("RTX",X25)),TRIM(MID(X25,SEARCH("RTX",X25),8)),IF(X25="","Unknown",IF(Z25="Dedicated","Dedicated (model n/a)","Integrated")))</f>
        <v>RTX 5060</v>
      </c>
      <c r="AB25" s="37" t="str">
        <f aca="false">IF(ISNUMBER(G25),INDEX(Params!$E$5:$E$9,MATCH(G25,Params!$D$5:$D$9,1)),"Unknown")</f>
        <v>400 M +</v>
      </c>
      <c r="AC25" s="45" t="n">
        <f aca="false">IF(AND(ISNUMBER(G25),ISNUMBER(Q25)),IF(Q25&gt;0,G25/Q25,""),"")</f>
        <v>25</v>
      </c>
      <c r="AD25" s="39" t="n">
        <f aca="false">IF(OR(p_excl=0,ISNUMBER(SEARCH("لپ",B25))),1,0)</f>
        <v>1</v>
      </c>
      <c r="AE25" s="39" t="n">
        <f aca="false">IF(AND(AD25=1,OR(fBrand="All",D25=fBrand),OR(fCPU="All",O25=fCPU),OR(fGPU="All",Z25=fGPU),OR(fTier="All",AB25=fTier),OR(fRAM="All",R25=fRAM)),1,0)</f>
        <v>1</v>
      </c>
      <c r="AF25" s="39" t="n">
        <f aca="false">IF(AND(AE25=1,ISNUMBER(G25)),1,0)</f>
        <v>1</v>
      </c>
      <c r="AG25" s="39" t="n">
        <f aca="false">IF(AND(AE25=1,L25&gt;0),1,0)</f>
        <v>1</v>
      </c>
      <c r="AH25" s="40" t="n">
        <f aca="false">IF(AF25=1,G25,"")</f>
        <v>400</v>
      </c>
      <c r="AI25" s="39" t="str">
        <f aca="false">IF(COUNTIF($D$2:D25,D25)=1,MAX($AI$1:AI24)+1,"")</f>
        <v/>
      </c>
      <c r="AJ25" s="39" t="str">
        <f aca="false">IF(COUNTIF($P$2:P25,P25)=1,MAX($AJ$1:AJ24)+1,"")</f>
        <v/>
      </c>
      <c r="AK25" s="47" t="n">
        <f aca="false">IF(AG25=1,M25+ROW()/1000000000,"")</f>
        <v>4.47916669166667</v>
      </c>
      <c r="AL25" s="47" t="str">
        <f aca="false">IF(AND(AE25=1,I25&gt;0),I25+ROW()/1000000000,"")</f>
        <v/>
      </c>
      <c r="AM25" s="39" t="n">
        <f aca="false">IF(AND(AF25=1,ISNUMBER(W25),Z25="Dedicated"),1,0)</f>
        <v>1</v>
      </c>
      <c r="AN25" s="39" t="n">
        <f aca="false">SUM($AM$2:AM25)</f>
        <v>5</v>
      </c>
      <c r="AO25" s="39" t="n">
        <f aca="false">IF(AND(AF25=1,ISNUMBER(W25),Z25&lt;&gt;"Dedicated"),1,0)</f>
        <v>0</v>
      </c>
      <c r="AP25" s="39" t="n">
        <f aca="false">SUM($AO$2:AO25)</f>
        <v>17</v>
      </c>
      <c r="AQ25" s="39" t="n">
        <f aca="false">IF(AND(AF25=1,AG25=1),1,0)</f>
        <v>1</v>
      </c>
      <c r="AR25" s="39" t="n">
        <f aca="false">SUM($AQ$2:AQ25)</f>
        <v>24</v>
      </c>
      <c r="AS25" s="45" t="n">
        <f aca="false">IF(AQ25=1,G25,0)</f>
        <v>400</v>
      </c>
      <c r="AT25" s="45" t="n">
        <f aca="false">IF(AQ25=1,K25,0)</f>
        <v>4.5</v>
      </c>
      <c r="AU25" s="37" t="str">
        <f aca="false">TRIM(IF(Raw!N25="","weight missing; ","")&amp;IF(Raw!K25="","storage missing; ","")&amp;IF(ISNUMBER(FIND(" و ",Raw!K25)),"dual storage - SSD part used; ","")&amp;IF(ISNUMBER(SEARCH("TB",Raw!K25)),"storage written as TB; ","")&amp;IF(Raw!I25="","cpu missing; ","")&amp;IF(Raw!M25="","gpu missing; ","")&amp;IF(Raw!J25="","ram missing; ","")&amp;IF(Raw!L25="","screen missing; ",""))</f>
        <v/>
      </c>
    </row>
    <row r="26" customFormat="false" ht="15" hidden="false" customHeight="false" outlineLevel="0" collapsed="false">
      <c r="A26" s="39" t="n">
        <f aca="false">Raw!A26</f>
        <v>133971</v>
      </c>
      <c r="B26" s="37" t="str">
        <f aca="false">Raw!B26</f>
        <v>لپ تاپ لنوو 15.3 اینچی مدل IdeaPad Slim 3 i7 13620H 16GB 1TB</v>
      </c>
      <c r="C26" s="37" t="str">
        <f aca="false">LOWER(TRIM(Raw!C26))</f>
        <v>lenovo</v>
      </c>
      <c r="D26" s="37" t="str">
        <f aca="false">IFERROR(INDEX(Params!$B$5:$B$13,MATCH(C26,Params!$A$5:$A$13,0)),PROPER(C26))</f>
        <v>Lenovo</v>
      </c>
      <c r="E26" s="37" t="str">
        <f aca="false">IF(Raw!F26,"Available","Out of stock")</f>
        <v>Available</v>
      </c>
      <c r="F26" s="43" t="n">
        <f aca="false">IF(Raw!D26="","",Raw!D26)</f>
        <v>234000000</v>
      </c>
      <c r="G26" s="40" t="n">
        <f aca="false">IF(ISNUMBER(F26),F26/1000000,"")</f>
        <v>234</v>
      </c>
      <c r="H26" s="43" t="str">
        <f aca="false">IF(Raw!E26="","",Raw!E26)</f>
        <v/>
      </c>
      <c r="I26" s="42" t="n">
        <f aca="false">IF(AND(ISNUMBER(H26),ISNUMBER(F26)),IF(H26&gt;F26,(H26-F26)/H26,0),0)</f>
        <v>0</v>
      </c>
      <c r="J26" s="39" t="n">
        <f aca="false">IF(I26&gt;0,1,0)</f>
        <v>0</v>
      </c>
      <c r="K26" s="45" t="n">
        <f aca="false">Raw!G26</f>
        <v>4.1</v>
      </c>
      <c r="L26" s="39" t="n">
        <f aca="false">Raw!H26</f>
        <v>29</v>
      </c>
      <c r="M26" s="41" t="n">
        <f aca="false">IF(L26&gt;0,(L26*K26+p_m*p_c)/(L26+p_m),"")</f>
        <v>4.19615384615385</v>
      </c>
      <c r="N26" s="37" t="str">
        <f aca="false">IF(Raw!I26="","",TRIM(Raw!I26))</f>
        <v>Core i7 13620H</v>
      </c>
      <c r="O26" s="37" t="str">
        <f aca="false">IF(N26="","Unknown",IF(LEFT(N26,5)="Apple","Apple",IF(LEFT(N26,5)="Ryzen","AMD","Intel")))</f>
        <v>Intel</v>
      </c>
      <c r="P26" s="37" t="str">
        <f aca="false">IF(N26="","Unknown",IF(LEFT(N26,5)="Apple","Apple Silicon",IF(LEFT(N26,8)="Ryzen AI","Ryzen AI",TRIM(LEFT(N26,7)))))</f>
        <v>Core i7</v>
      </c>
      <c r="Q26" s="39" t="n">
        <f aca="false">IFERROR(VALUE(LEFT(Raw!J26,FIND(" ",Raw!J26)-1)),"")</f>
        <v>16</v>
      </c>
      <c r="R26" s="37" t="str">
        <f aca="false">IF(NOT(ISNUMBER(Q26)),"Unknown",IF(Q26&lt;=8,"≤ 8 GB",IF(Q26&lt;=16,"12–16 GB","20 GB +")))</f>
        <v>12–16 GB</v>
      </c>
      <c r="S26" s="37" t="str">
        <f aca="false">IF(Raw!K26="","",IF(ISNUMBER(FIND(" و ",Raw!K26)),TRIM(MID(Raw!K26,FIND(" و ",Raw!K26)+3,100)),TRIM(Raw!K26)))</f>
        <v>1 ترابایت</v>
      </c>
      <c r="T26" s="43" t="n">
        <f aca="false">IF(S26="","",IFERROR(IFERROR(VALUE(LEFT(S26,FIND(" ",S26)-1)),VALUE(LEFT(S26,LEN(S26)-2)))*IF(OR(ISNUMBER(SEARCH("ترابایت",S26)),ISNUMBER(SEARCH("TB",S26))),1024,1),""))</f>
        <v>1024</v>
      </c>
      <c r="U26" s="37" t="str">
        <f aca="false">IF(NOT(ISNUMBER(T26)),"Unknown",IF(T26&lt;=256,"≤ 256 GB",IF(T26&lt;=512,"512 GB","1 TB +")))</f>
        <v>1 TB +</v>
      </c>
      <c r="V26" s="45" t="n">
        <f aca="false">IFERROR(VALUE(SUBSTITUTE(LEFT(Raw!L26,FIND(" ",Raw!L26)-1),".",MID(1/2,2,1))),"")</f>
        <v>15.3</v>
      </c>
      <c r="W26" s="41" t="str">
        <f aca="false">IFERROR(VALUE(SUBSTITUTE(LEFT(Raw!N26,FIND(" ",Raw!N26)-1),".",MID(1/2,2,1))),"")</f>
        <v/>
      </c>
      <c r="X26" s="37" t="str">
        <f aca="false">IF(Raw!M26="","",TRIM(Raw!M26))</f>
        <v>Intel UHD Graphics</v>
      </c>
      <c r="Y26" s="37" t="str">
        <f aca="false">IF(X26="","Unknown",IF(ISNUMBER(SEARCH("nvidia",X26)),"NVIDIA",IF(ISNUMBER(SEARCH("amd",X26)),"AMD",IF(ISNUMBER(SEARCH("apple",X26)),"Apple",IF(ISNUMBER(SEARCH("intel",X26)),"Intel","Other")))))</f>
        <v>Intel</v>
      </c>
      <c r="Z26" s="37" t="str">
        <f aca="false">IF(X26="","Unknown",IF(ISNUMBER(SEARCH("RTX",X26))+ISNUMBER(SEARCH("GTX",X26))+ISNUMBER(SEARCH("nvidia",X26))+ISNUMBER(SEARCH("Radeon RX",X26))&gt;0,"Dedicated","Integrated"))</f>
        <v>Integrated</v>
      </c>
      <c r="AA26" s="37" t="str">
        <f aca="false">IF(ISNUMBER(SEARCH("RTX",X26)),TRIM(MID(X26,SEARCH("RTX",X26),8)),IF(X26="","Unknown",IF(Z26="Dedicated","Dedicated (model n/a)","Integrated")))</f>
        <v>Integrated</v>
      </c>
      <c r="AB26" s="37" t="str">
        <f aca="false">IF(ISNUMBER(G26),INDEX(Params!$E$5:$E$9,MATCH(G26,Params!$D$5:$D$9,1)),"Unknown")</f>
        <v>200–300 M</v>
      </c>
      <c r="AC26" s="45" t="n">
        <f aca="false">IF(AND(ISNUMBER(G26),ISNUMBER(Q26)),IF(Q26&gt;0,G26/Q26,""),"")</f>
        <v>14.625</v>
      </c>
      <c r="AD26" s="39" t="n">
        <f aca="false">IF(OR(p_excl=0,ISNUMBER(SEARCH("لپ",B26))),1,0)</f>
        <v>1</v>
      </c>
      <c r="AE26" s="39" t="n">
        <f aca="false">IF(AND(AD26=1,OR(fBrand="All",D26=fBrand),OR(fCPU="All",O26=fCPU),OR(fGPU="All",Z26=fGPU),OR(fTier="All",AB26=fTier),OR(fRAM="All",R26=fRAM)),1,0)</f>
        <v>1</v>
      </c>
      <c r="AF26" s="39" t="n">
        <f aca="false">IF(AND(AE26=1,ISNUMBER(G26)),1,0)</f>
        <v>1</v>
      </c>
      <c r="AG26" s="39" t="n">
        <f aca="false">IF(AND(AE26=1,L26&gt;0),1,0)</f>
        <v>1</v>
      </c>
      <c r="AH26" s="40" t="n">
        <f aca="false">IF(AF26=1,G26,"")</f>
        <v>234</v>
      </c>
      <c r="AI26" s="39" t="str">
        <f aca="false">IF(COUNTIF($D$2:D26,D26)=1,MAX($AI$1:AI25)+1,"")</f>
        <v/>
      </c>
      <c r="AJ26" s="39" t="str">
        <f aca="false">IF(COUNTIF($P$2:P26,P26)=1,MAX($AJ$1:AJ25)+1,"")</f>
        <v/>
      </c>
      <c r="AK26" s="47" t="n">
        <f aca="false">IF(AG26=1,M26+ROW()/1000000000,"")</f>
        <v>4.19615387215385</v>
      </c>
      <c r="AL26" s="47" t="str">
        <f aca="false">IF(AND(AE26=1,I26&gt;0),I26+ROW()/1000000000,"")</f>
        <v/>
      </c>
      <c r="AM26" s="39" t="n">
        <f aca="false">IF(AND(AF26=1,ISNUMBER(W26),Z26="Dedicated"),1,0)</f>
        <v>0</v>
      </c>
      <c r="AN26" s="39" t="n">
        <f aca="false">SUM($AM$2:AM26)</f>
        <v>5</v>
      </c>
      <c r="AO26" s="39" t="n">
        <f aca="false">IF(AND(AF26=1,ISNUMBER(W26),Z26&lt;&gt;"Dedicated"),1,0)</f>
        <v>0</v>
      </c>
      <c r="AP26" s="39" t="n">
        <f aca="false">SUM($AO$2:AO26)</f>
        <v>17</v>
      </c>
      <c r="AQ26" s="39" t="n">
        <f aca="false">IF(AND(AF26=1,AG26=1),1,0)</f>
        <v>1</v>
      </c>
      <c r="AR26" s="39" t="n">
        <f aca="false">SUM($AQ$2:AQ26)</f>
        <v>25</v>
      </c>
      <c r="AS26" s="45" t="n">
        <f aca="false">IF(AQ26=1,G26,0)</f>
        <v>234</v>
      </c>
      <c r="AT26" s="45" t="n">
        <f aca="false">IF(AQ26=1,K26,0)</f>
        <v>4.1</v>
      </c>
      <c r="AU26" s="37" t="str">
        <f aca="false">TRIM(IF(Raw!N26="","weight missing; ","")&amp;IF(Raw!K26="","storage missing; ","")&amp;IF(ISNUMBER(FIND(" و ",Raw!K26)),"dual storage - SSD part used; ","")&amp;IF(ISNUMBER(SEARCH("TB",Raw!K26)),"storage written as TB; ","")&amp;IF(Raw!I26="","cpu missing; ","")&amp;IF(Raw!M26="","gpu missing; ","")&amp;IF(Raw!J26="","ram missing; ","")&amp;IF(Raw!L26="","screen missing; ",""))</f>
        <v>weight missing;</v>
      </c>
    </row>
    <row r="27" customFormat="false" ht="15" hidden="false" customHeight="false" outlineLevel="0" collapsed="false">
      <c r="A27" s="39" t="n">
        <f aca="false">Raw!A27</f>
        <v>49422</v>
      </c>
      <c r="B27" s="37" t="str">
        <f aca="false">Raw!B27</f>
        <v>لپ تاپ لنوو 15.6 اینچی مدل V15 G4 i5 13420H 8GB 512GB</v>
      </c>
      <c r="C27" s="37" t="str">
        <f aca="false">LOWER(TRIM(Raw!C27))</f>
        <v>lenovo</v>
      </c>
      <c r="D27" s="37" t="str">
        <f aca="false">IFERROR(INDEX(Params!$B$5:$B$13,MATCH(C27,Params!$A$5:$A$13,0)),PROPER(C27))</f>
        <v>Lenovo</v>
      </c>
      <c r="E27" s="37" t="str">
        <f aca="false">IF(Raw!F27,"Available","Out of stock")</f>
        <v>Available</v>
      </c>
      <c r="F27" s="43" t="n">
        <f aca="false">IF(Raw!D27="","",Raw!D27)</f>
        <v>155000000</v>
      </c>
      <c r="G27" s="40" t="n">
        <f aca="false">IF(ISNUMBER(F27),F27/1000000,"")</f>
        <v>155</v>
      </c>
      <c r="H27" s="43" t="str">
        <f aca="false">IF(Raw!E27="","",Raw!E27)</f>
        <v/>
      </c>
      <c r="I27" s="42" t="n">
        <f aca="false">IF(AND(ISNUMBER(H27),ISNUMBER(F27)),IF(H27&gt;F27,(H27-F27)/H27,0),0)</f>
        <v>0</v>
      </c>
      <c r="J27" s="39" t="n">
        <f aca="false">IF(I27&gt;0,1,0)</f>
        <v>0</v>
      </c>
      <c r="K27" s="45" t="n">
        <f aca="false">Raw!G27</f>
        <v>3.8</v>
      </c>
      <c r="L27" s="39" t="n">
        <f aca="false">Raw!H27</f>
        <v>20</v>
      </c>
      <c r="M27" s="41" t="n">
        <f aca="false">IF(L27&gt;0,(L27*K27+p_m*p_c)/(L27+p_m),"")</f>
        <v>4.025</v>
      </c>
      <c r="N27" s="37" t="str">
        <f aca="false">IF(Raw!I27="","",TRIM(Raw!I27))</f>
        <v>Core i5 13420H</v>
      </c>
      <c r="O27" s="37" t="str">
        <f aca="false">IF(N27="","Unknown",IF(LEFT(N27,5)="Apple","Apple",IF(LEFT(N27,5)="Ryzen","AMD","Intel")))</f>
        <v>Intel</v>
      </c>
      <c r="P27" s="37" t="str">
        <f aca="false">IF(N27="","Unknown",IF(LEFT(N27,5)="Apple","Apple Silicon",IF(LEFT(N27,8)="Ryzen AI","Ryzen AI",TRIM(LEFT(N27,7)))))</f>
        <v>Core i5</v>
      </c>
      <c r="Q27" s="39" t="n">
        <f aca="false">IFERROR(VALUE(LEFT(Raw!J27,FIND(" ",Raw!J27)-1)),"")</f>
        <v>8</v>
      </c>
      <c r="R27" s="37" t="str">
        <f aca="false">IF(NOT(ISNUMBER(Q27)),"Unknown",IF(Q27&lt;=8,"≤ 8 GB",IF(Q27&lt;=16,"12–16 GB","20 GB +")))</f>
        <v>≤ 8 GB</v>
      </c>
      <c r="S27" s="37" t="str">
        <f aca="false">IF(Raw!K27="","",IF(ISNUMBER(FIND(" و ",Raw!K27)),TRIM(MID(Raw!K27,FIND(" و ",Raw!K27)+3,100)),TRIM(Raw!K27)))</f>
        <v>512 گیگابایت</v>
      </c>
      <c r="T27" s="43" t="n">
        <f aca="false">IF(S27="","",IFERROR(IFERROR(VALUE(LEFT(S27,FIND(" ",S27)-1)),VALUE(LEFT(S27,LEN(S27)-2)))*IF(OR(ISNUMBER(SEARCH("ترابایت",S27)),ISNUMBER(SEARCH("TB",S27))),1024,1),""))</f>
        <v>512</v>
      </c>
      <c r="U27" s="37" t="str">
        <f aca="false">IF(NOT(ISNUMBER(T27)),"Unknown",IF(T27&lt;=256,"≤ 256 GB",IF(T27&lt;=512,"512 GB","1 TB +")))</f>
        <v>512 GB</v>
      </c>
      <c r="V27" s="45" t="n">
        <f aca="false">IFERROR(VALUE(SUBSTITUTE(LEFT(Raw!L27,FIND(" ",Raw!L27)-1),".",MID(1/2,2,1))),"")</f>
        <v>15.6</v>
      </c>
      <c r="W27" s="41" t="n">
        <f aca="false">IFERROR(VALUE(SUBSTITUTE(LEFT(Raw!N27,FIND(" ",Raw!N27)-1),".",MID(1/2,2,1))),"")</f>
        <v>1.6</v>
      </c>
      <c r="X27" s="37" t="str">
        <f aca="false">IF(Raw!M27="","",TRIM(Raw!M27))</f>
        <v>Intel UHD Graphics</v>
      </c>
      <c r="Y27" s="37" t="str">
        <f aca="false">IF(X27="","Unknown",IF(ISNUMBER(SEARCH("nvidia",X27)),"NVIDIA",IF(ISNUMBER(SEARCH("amd",X27)),"AMD",IF(ISNUMBER(SEARCH("apple",X27)),"Apple",IF(ISNUMBER(SEARCH("intel",X27)),"Intel","Other")))))</f>
        <v>Intel</v>
      </c>
      <c r="Z27" s="37" t="str">
        <f aca="false">IF(X27="","Unknown",IF(ISNUMBER(SEARCH("RTX",X27))+ISNUMBER(SEARCH("GTX",X27))+ISNUMBER(SEARCH("nvidia",X27))+ISNUMBER(SEARCH("Radeon RX",X27))&gt;0,"Dedicated","Integrated"))</f>
        <v>Integrated</v>
      </c>
      <c r="AA27" s="37" t="str">
        <f aca="false">IF(ISNUMBER(SEARCH("RTX",X27)),TRIM(MID(X27,SEARCH("RTX",X27),8)),IF(X27="","Unknown",IF(Z27="Dedicated","Dedicated (model n/a)","Integrated")))</f>
        <v>Integrated</v>
      </c>
      <c r="AB27" s="37" t="str">
        <f aca="false">IF(ISNUMBER(G27),INDEX(Params!$E$5:$E$9,MATCH(G27,Params!$D$5:$D$9,1)),"Unknown")</f>
        <v>100–200 M</v>
      </c>
      <c r="AC27" s="45" t="n">
        <f aca="false">IF(AND(ISNUMBER(G27),ISNUMBER(Q27)),IF(Q27&gt;0,G27/Q27,""),"")</f>
        <v>19.375</v>
      </c>
      <c r="AD27" s="39" t="n">
        <f aca="false">IF(OR(p_excl=0,ISNUMBER(SEARCH("لپ",B27))),1,0)</f>
        <v>1</v>
      </c>
      <c r="AE27" s="39" t="n">
        <f aca="false">IF(AND(AD27=1,OR(fBrand="All",D27=fBrand),OR(fCPU="All",O27=fCPU),OR(fGPU="All",Z27=fGPU),OR(fTier="All",AB27=fTier),OR(fRAM="All",R27=fRAM)),1,0)</f>
        <v>1</v>
      </c>
      <c r="AF27" s="39" t="n">
        <f aca="false">IF(AND(AE27=1,ISNUMBER(G27)),1,0)</f>
        <v>1</v>
      </c>
      <c r="AG27" s="39" t="n">
        <f aca="false">IF(AND(AE27=1,L27&gt;0),1,0)</f>
        <v>1</v>
      </c>
      <c r="AH27" s="40" t="n">
        <f aca="false">IF(AF27=1,G27,"")</f>
        <v>155</v>
      </c>
      <c r="AI27" s="39" t="str">
        <f aca="false">IF(COUNTIF($D$2:D27,D27)=1,MAX($AI$1:AI26)+1,"")</f>
        <v/>
      </c>
      <c r="AJ27" s="39" t="str">
        <f aca="false">IF(COUNTIF($P$2:P27,P27)=1,MAX($AJ$1:AJ26)+1,"")</f>
        <v/>
      </c>
      <c r="AK27" s="47" t="n">
        <f aca="false">IF(AG27=1,M27+ROW()/1000000000,"")</f>
        <v>4.025000027</v>
      </c>
      <c r="AL27" s="47" t="str">
        <f aca="false">IF(AND(AE27=1,I27&gt;0),I27+ROW()/1000000000,"")</f>
        <v/>
      </c>
      <c r="AM27" s="39" t="n">
        <f aca="false">IF(AND(AF27=1,ISNUMBER(W27),Z27="Dedicated"),1,0)</f>
        <v>0</v>
      </c>
      <c r="AN27" s="39" t="n">
        <f aca="false">SUM($AM$2:AM27)</f>
        <v>5</v>
      </c>
      <c r="AO27" s="39" t="n">
        <f aca="false">IF(AND(AF27=1,ISNUMBER(W27),Z27&lt;&gt;"Dedicated"),1,0)</f>
        <v>1</v>
      </c>
      <c r="AP27" s="39" t="n">
        <f aca="false">SUM($AO$2:AO27)</f>
        <v>18</v>
      </c>
      <c r="AQ27" s="39" t="n">
        <f aca="false">IF(AND(AF27=1,AG27=1),1,0)</f>
        <v>1</v>
      </c>
      <c r="AR27" s="39" t="n">
        <f aca="false">SUM($AQ$2:AQ27)</f>
        <v>26</v>
      </c>
      <c r="AS27" s="45" t="n">
        <f aca="false">IF(AQ27=1,G27,0)</f>
        <v>155</v>
      </c>
      <c r="AT27" s="45" t="n">
        <f aca="false">IF(AQ27=1,K27,0)</f>
        <v>3.8</v>
      </c>
      <c r="AU27" s="37" t="str">
        <f aca="false">TRIM(IF(Raw!N27="","weight missing; ","")&amp;IF(Raw!K27="","storage missing; ","")&amp;IF(ISNUMBER(FIND(" و ",Raw!K27)),"dual storage - SSD part used; ","")&amp;IF(ISNUMBER(SEARCH("TB",Raw!K27)),"storage written as TB; ","")&amp;IF(Raw!I27="","cpu missing; ","")&amp;IF(Raw!M27="","gpu missing; ","")&amp;IF(Raw!J27="","ram missing; ","")&amp;IF(Raw!L27="","screen missing; ",""))</f>
        <v/>
      </c>
    </row>
    <row r="28" customFormat="false" ht="15" hidden="false" customHeight="false" outlineLevel="0" collapsed="false">
      <c r="A28" s="39" t="n">
        <f aca="false">Raw!A28</f>
        <v>35550</v>
      </c>
      <c r="B28" s="37" t="str">
        <f aca="false">Raw!B28</f>
        <v>لپ تاپ لنوو 15.6 اینچی مدل LOQ 15IRX9 i7 13650HX 16GB 512GB RTX3050</v>
      </c>
      <c r="C28" s="37" t="str">
        <f aca="false">LOWER(TRIM(Raw!C28))</f>
        <v>lenovo</v>
      </c>
      <c r="D28" s="37" t="str">
        <f aca="false">IFERROR(INDEX(Params!$B$5:$B$13,MATCH(C28,Params!$A$5:$A$13,0)),PROPER(C28))</f>
        <v>Lenovo</v>
      </c>
      <c r="E28" s="37" t="str">
        <f aca="false">IF(Raw!F28,"Available","Out of stock")</f>
        <v>Available</v>
      </c>
      <c r="F28" s="43" t="n">
        <f aca="false">IF(Raw!D28="","",Raw!D28)</f>
        <v>308000000</v>
      </c>
      <c r="G28" s="40" t="n">
        <f aca="false">IF(ISNUMBER(F28),F28/1000000,"")</f>
        <v>308</v>
      </c>
      <c r="H28" s="43" t="str">
        <f aca="false">IF(Raw!E28="","",Raw!E28)</f>
        <v/>
      </c>
      <c r="I28" s="42" t="n">
        <f aca="false">IF(AND(ISNUMBER(H28),ISNUMBER(F28)),IF(H28&gt;F28,(H28-F28)/H28,0),0)</f>
        <v>0</v>
      </c>
      <c r="J28" s="39" t="n">
        <f aca="false">IF(I28&gt;0,1,0)</f>
        <v>0</v>
      </c>
      <c r="K28" s="45" t="n">
        <f aca="false">Raw!G28</f>
        <v>4.3</v>
      </c>
      <c r="L28" s="39" t="n">
        <f aca="false">Raw!H28</f>
        <v>36</v>
      </c>
      <c r="M28" s="41" t="n">
        <f aca="false">IF(L28&gt;0,(L28*K28+p_m*p_c)/(L28+p_m),"")</f>
        <v>4.33804347826087</v>
      </c>
      <c r="N28" s="37" t="str">
        <f aca="false">IF(Raw!I28="","",TRIM(Raw!I28))</f>
        <v>Core i7 13650HX</v>
      </c>
      <c r="O28" s="37" t="str">
        <f aca="false">IF(N28="","Unknown",IF(LEFT(N28,5)="Apple","Apple",IF(LEFT(N28,5)="Ryzen","AMD","Intel")))</f>
        <v>Intel</v>
      </c>
      <c r="P28" s="37" t="str">
        <f aca="false">IF(N28="","Unknown",IF(LEFT(N28,5)="Apple","Apple Silicon",IF(LEFT(N28,8)="Ryzen AI","Ryzen AI",TRIM(LEFT(N28,7)))))</f>
        <v>Core i7</v>
      </c>
      <c r="Q28" s="39" t="n">
        <f aca="false">IFERROR(VALUE(LEFT(Raw!J28,FIND(" ",Raw!J28)-1)),"")</f>
        <v>16</v>
      </c>
      <c r="R28" s="37" t="str">
        <f aca="false">IF(NOT(ISNUMBER(Q28)),"Unknown",IF(Q28&lt;=8,"≤ 8 GB",IF(Q28&lt;=16,"12–16 GB","20 GB +")))</f>
        <v>12–16 GB</v>
      </c>
      <c r="S28" s="37" t="str">
        <f aca="false">IF(Raw!K28="","",IF(ISNUMBER(FIND(" و ",Raw!K28)),TRIM(MID(Raw!K28,FIND(" و ",Raw!K28)+3,100)),TRIM(Raw!K28)))</f>
        <v>512 گیگابایت</v>
      </c>
      <c r="T28" s="43" t="n">
        <f aca="false">IF(S28="","",IFERROR(IFERROR(VALUE(LEFT(S28,FIND(" ",S28)-1)),VALUE(LEFT(S28,LEN(S28)-2)))*IF(OR(ISNUMBER(SEARCH("ترابایت",S28)),ISNUMBER(SEARCH("TB",S28))),1024,1),""))</f>
        <v>512</v>
      </c>
      <c r="U28" s="37" t="str">
        <f aca="false">IF(NOT(ISNUMBER(T28)),"Unknown",IF(T28&lt;=256,"≤ 256 GB",IF(T28&lt;=512,"512 GB","1 TB +")))</f>
        <v>512 GB</v>
      </c>
      <c r="V28" s="45" t="n">
        <f aca="false">IFERROR(VALUE(SUBSTITUTE(LEFT(Raw!L28,FIND(" ",Raw!L28)-1),".",MID(1/2,2,1))),"")</f>
        <v>15.6</v>
      </c>
      <c r="W28" s="41" t="n">
        <f aca="false">IFERROR(VALUE(SUBSTITUTE(LEFT(Raw!N28,FIND(" ",Raw!N28)-1),".",MID(1/2,2,1))),"")</f>
        <v>2.4</v>
      </c>
      <c r="X28" s="37" t="str">
        <f aca="false">IF(Raw!M28="","",TRIM(Raw!M28))</f>
        <v>NVIDIA GeForce RTX 3050</v>
      </c>
      <c r="Y28" s="37" t="str">
        <f aca="false">IF(X28="","Unknown",IF(ISNUMBER(SEARCH("nvidia",X28)),"NVIDIA",IF(ISNUMBER(SEARCH("amd",X28)),"AMD",IF(ISNUMBER(SEARCH("apple",X28)),"Apple",IF(ISNUMBER(SEARCH("intel",X28)),"Intel","Other")))))</f>
        <v>NVIDIA</v>
      </c>
      <c r="Z28" s="37" t="str">
        <f aca="false">IF(X28="","Unknown",IF(ISNUMBER(SEARCH("RTX",X28))+ISNUMBER(SEARCH("GTX",X28))+ISNUMBER(SEARCH("nvidia",X28))+ISNUMBER(SEARCH("Radeon RX",X28))&gt;0,"Dedicated","Integrated"))</f>
        <v>Dedicated</v>
      </c>
      <c r="AA28" s="37" t="str">
        <f aca="false">IF(ISNUMBER(SEARCH("RTX",X28)),TRIM(MID(X28,SEARCH("RTX",X28),8)),IF(X28="","Unknown",IF(Z28="Dedicated","Dedicated (model n/a)","Integrated")))</f>
        <v>RTX 3050</v>
      </c>
      <c r="AB28" s="37" t="str">
        <f aca="false">IF(ISNUMBER(G28),INDEX(Params!$E$5:$E$9,MATCH(G28,Params!$D$5:$D$9,1)),"Unknown")</f>
        <v>300–400 M</v>
      </c>
      <c r="AC28" s="45" t="n">
        <f aca="false">IF(AND(ISNUMBER(G28),ISNUMBER(Q28)),IF(Q28&gt;0,G28/Q28,""),"")</f>
        <v>19.25</v>
      </c>
      <c r="AD28" s="39" t="n">
        <f aca="false">IF(OR(p_excl=0,ISNUMBER(SEARCH("لپ",B28))),1,0)</f>
        <v>1</v>
      </c>
      <c r="AE28" s="39" t="n">
        <f aca="false">IF(AND(AD28=1,OR(fBrand="All",D28=fBrand),OR(fCPU="All",O28=fCPU),OR(fGPU="All",Z28=fGPU),OR(fTier="All",AB28=fTier),OR(fRAM="All",R28=fRAM)),1,0)</f>
        <v>1</v>
      </c>
      <c r="AF28" s="39" t="n">
        <f aca="false">IF(AND(AE28=1,ISNUMBER(G28)),1,0)</f>
        <v>1</v>
      </c>
      <c r="AG28" s="39" t="n">
        <f aca="false">IF(AND(AE28=1,L28&gt;0),1,0)</f>
        <v>1</v>
      </c>
      <c r="AH28" s="40" t="n">
        <f aca="false">IF(AF28=1,G28,"")</f>
        <v>308</v>
      </c>
      <c r="AI28" s="39" t="str">
        <f aca="false">IF(COUNTIF($D$2:D28,D28)=1,MAX($AI$1:AI27)+1,"")</f>
        <v/>
      </c>
      <c r="AJ28" s="39" t="str">
        <f aca="false">IF(COUNTIF($P$2:P28,P28)=1,MAX($AJ$1:AJ27)+1,"")</f>
        <v/>
      </c>
      <c r="AK28" s="47" t="n">
        <f aca="false">IF(AG28=1,M28+ROW()/1000000000,"")</f>
        <v>4.33804350626087</v>
      </c>
      <c r="AL28" s="47" t="str">
        <f aca="false">IF(AND(AE28=1,I28&gt;0),I28+ROW()/1000000000,"")</f>
        <v/>
      </c>
      <c r="AM28" s="39" t="n">
        <f aca="false">IF(AND(AF28=1,ISNUMBER(W28),Z28="Dedicated"),1,0)</f>
        <v>1</v>
      </c>
      <c r="AN28" s="39" t="n">
        <f aca="false">SUM($AM$2:AM28)</f>
        <v>6</v>
      </c>
      <c r="AO28" s="39" t="n">
        <f aca="false">IF(AND(AF28=1,ISNUMBER(W28),Z28&lt;&gt;"Dedicated"),1,0)</f>
        <v>0</v>
      </c>
      <c r="AP28" s="39" t="n">
        <f aca="false">SUM($AO$2:AO28)</f>
        <v>18</v>
      </c>
      <c r="AQ28" s="39" t="n">
        <f aca="false">IF(AND(AF28=1,AG28=1),1,0)</f>
        <v>1</v>
      </c>
      <c r="AR28" s="39" t="n">
        <f aca="false">SUM($AQ$2:AQ28)</f>
        <v>27</v>
      </c>
      <c r="AS28" s="45" t="n">
        <f aca="false">IF(AQ28=1,G28,0)</f>
        <v>308</v>
      </c>
      <c r="AT28" s="45" t="n">
        <f aca="false">IF(AQ28=1,K28,0)</f>
        <v>4.3</v>
      </c>
      <c r="AU28" s="37" t="str">
        <f aca="false">TRIM(IF(Raw!N28="","weight missing; ","")&amp;IF(Raw!K28="","storage missing; ","")&amp;IF(ISNUMBER(FIND(" و ",Raw!K28)),"dual storage - SSD part used; ","")&amp;IF(ISNUMBER(SEARCH("TB",Raw!K28)),"storage written as TB; ","")&amp;IF(Raw!I28="","cpu missing; ","")&amp;IF(Raw!M28="","gpu missing; ","")&amp;IF(Raw!J28="","ram missing; ","")&amp;IF(Raw!L28="","screen missing; ",""))</f>
        <v/>
      </c>
    </row>
    <row r="29" customFormat="false" ht="15" hidden="false" customHeight="false" outlineLevel="0" collapsed="false">
      <c r="A29" s="39" t="n">
        <f aca="false">Raw!A29</f>
        <v>518235</v>
      </c>
      <c r="B29" s="37" t="str">
        <f aca="false">Raw!B29</f>
        <v>لپ تاپ ایسوس 15.6 اینچی مدل Vivobook X1504VA Core 7 150U 16GB 512GB IPS</v>
      </c>
      <c r="C29" s="37" t="str">
        <f aca="false">LOWER(TRIM(Raw!C29))</f>
        <v>asus</v>
      </c>
      <c r="D29" s="37" t="str">
        <f aca="false">IFERROR(INDEX(Params!$B$5:$B$13,MATCH(C29,Params!$A$5:$A$13,0)),PROPER(C29))</f>
        <v>ASUS</v>
      </c>
      <c r="E29" s="37" t="str">
        <f aca="false">IF(Raw!F29,"Available","Out of stock")</f>
        <v>Available</v>
      </c>
      <c r="F29" s="43" t="n">
        <f aca="false">IF(Raw!D29="","",Raw!D29)</f>
        <v>199900000</v>
      </c>
      <c r="G29" s="40" t="n">
        <f aca="false">IF(ISNUMBER(F29),F29/1000000,"")</f>
        <v>199.9</v>
      </c>
      <c r="H29" s="43" t="str">
        <f aca="false">IF(Raw!E29="","",Raw!E29)</f>
        <v/>
      </c>
      <c r="I29" s="42" t="n">
        <f aca="false">IF(AND(ISNUMBER(H29),ISNUMBER(F29)),IF(H29&gt;F29,(H29-F29)/H29,0),0)</f>
        <v>0</v>
      </c>
      <c r="J29" s="39" t="n">
        <f aca="false">IF(I29&gt;0,1,0)</f>
        <v>0</v>
      </c>
      <c r="K29" s="45" t="n">
        <f aca="false">Raw!G29</f>
        <v>5</v>
      </c>
      <c r="L29" s="39" t="n">
        <f aca="false">Raw!H29</f>
        <v>1</v>
      </c>
      <c r="M29" s="41" t="n">
        <f aca="false">IF(L29&gt;0,(L29*K29+p_m*p_c)/(L29+p_m),"")</f>
        <v>4.52272727272727</v>
      </c>
      <c r="N29" s="37" t="str">
        <f aca="false">IF(Raw!I29="","",TRIM(Raw!I29))</f>
        <v>Core 7 150U</v>
      </c>
      <c r="O29" s="37" t="str">
        <f aca="false">IF(N29="","Unknown",IF(LEFT(N29,5)="Apple","Apple",IF(LEFT(N29,5)="Ryzen","AMD","Intel")))</f>
        <v>Intel</v>
      </c>
      <c r="P29" s="37" t="str">
        <f aca="false">IF(N29="","Unknown",IF(LEFT(N29,5)="Apple","Apple Silicon",IF(LEFT(N29,8)="Ryzen AI","Ryzen AI",TRIM(LEFT(N29,7)))))</f>
        <v>Core 7</v>
      </c>
      <c r="Q29" s="39" t="n">
        <f aca="false">IFERROR(VALUE(LEFT(Raw!J29,FIND(" ",Raw!J29)-1)),"")</f>
        <v>16</v>
      </c>
      <c r="R29" s="37" t="str">
        <f aca="false">IF(NOT(ISNUMBER(Q29)),"Unknown",IF(Q29&lt;=8,"≤ 8 GB",IF(Q29&lt;=16,"12–16 GB","20 GB +")))</f>
        <v>12–16 GB</v>
      </c>
      <c r="S29" s="37" t="str">
        <f aca="false">IF(Raw!K29="","",IF(ISNUMBER(FIND(" و ",Raw!K29)),TRIM(MID(Raw!K29,FIND(" و ",Raw!K29)+3,100)),TRIM(Raw!K29)))</f>
        <v>512 گیگابایت</v>
      </c>
      <c r="T29" s="43" t="n">
        <f aca="false">IF(S29="","",IFERROR(IFERROR(VALUE(LEFT(S29,FIND(" ",S29)-1)),VALUE(LEFT(S29,LEN(S29)-2)))*IF(OR(ISNUMBER(SEARCH("ترابایت",S29)),ISNUMBER(SEARCH("TB",S29))),1024,1),""))</f>
        <v>512</v>
      </c>
      <c r="U29" s="37" t="str">
        <f aca="false">IF(NOT(ISNUMBER(T29)),"Unknown",IF(T29&lt;=256,"≤ 256 GB",IF(T29&lt;=512,"512 GB","1 TB +")))</f>
        <v>512 GB</v>
      </c>
      <c r="V29" s="45" t="n">
        <f aca="false">IFERROR(VALUE(SUBSTITUTE(LEFT(Raw!L29,FIND(" ",Raw!L29)-1),".",MID(1/2,2,1))),"")</f>
        <v>15.6</v>
      </c>
      <c r="W29" s="41" t="n">
        <f aca="false">IFERROR(VALUE(SUBSTITUTE(LEFT(Raw!N29,FIND(" ",Raw!N29)-1),".",MID(1/2,2,1))),"")</f>
        <v>1.7</v>
      </c>
      <c r="X29" s="37" t="str">
        <f aca="false">IF(Raw!M29="","",TRIM(Raw!M29))</f>
        <v>Intel</v>
      </c>
      <c r="Y29" s="37" t="str">
        <f aca="false">IF(X29="","Unknown",IF(ISNUMBER(SEARCH("nvidia",X29)),"NVIDIA",IF(ISNUMBER(SEARCH("amd",X29)),"AMD",IF(ISNUMBER(SEARCH("apple",X29)),"Apple",IF(ISNUMBER(SEARCH("intel",X29)),"Intel","Other")))))</f>
        <v>Intel</v>
      </c>
      <c r="Z29" s="37" t="str">
        <f aca="false">IF(X29="","Unknown",IF(ISNUMBER(SEARCH("RTX",X29))+ISNUMBER(SEARCH("GTX",X29))+ISNUMBER(SEARCH("nvidia",X29))+ISNUMBER(SEARCH("Radeon RX",X29))&gt;0,"Dedicated","Integrated"))</f>
        <v>Integrated</v>
      </c>
      <c r="AA29" s="37" t="str">
        <f aca="false">IF(ISNUMBER(SEARCH("RTX",X29)),TRIM(MID(X29,SEARCH("RTX",X29),8)),IF(X29="","Unknown",IF(Z29="Dedicated","Dedicated (model n/a)","Integrated")))</f>
        <v>Integrated</v>
      </c>
      <c r="AB29" s="37" t="str">
        <f aca="false">IF(ISNUMBER(G29),INDEX(Params!$E$5:$E$9,MATCH(G29,Params!$D$5:$D$9,1)),"Unknown")</f>
        <v>100–200 M</v>
      </c>
      <c r="AC29" s="45" t="n">
        <f aca="false">IF(AND(ISNUMBER(G29),ISNUMBER(Q29)),IF(Q29&gt;0,G29/Q29,""),"")</f>
        <v>12.49375</v>
      </c>
      <c r="AD29" s="39" t="n">
        <f aca="false">IF(OR(p_excl=0,ISNUMBER(SEARCH("لپ",B29))),1,0)</f>
        <v>1</v>
      </c>
      <c r="AE29" s="39" t="n">
        <f aca="false">IF(AND(AD29=1,OR(fBrand="All",D29=fBrand),OR(fCPU="All",O29=fCPU),OR(fGPU="All",Z29=fGPU),OR(fTier="All",AB29=fTier),OR(fRAM="All",R29=fRAM)),1,0)</f>
        <v>1</v>
      </c>
      <c r="AF29" s="39" t="n">
        <f aca="false">IF(AND(AE29=1,ISNUMBER(G29)),1,0)</f>
        <v>1</v>
      </c>
      <c r="AG29" s="39" t="n">
        <f aca="false">IF(AND(AE29=1,L29&gt;0),1,0)</f>
        <v>1</v>
      </c>
      <c r="AH29" s="40" t="n">
        <f aca="false">IF(AF29=1,G29,"")</f>
        <v>199.9</v>
      </c>
      <c r="AI29" s="39" t="str">
        <f aca="false">IF(COUNTIF($D$2:D29,D29)=1,MAX($AI$1:AI28)+1,"")</f>
        <v/>
      </c>
      <c r="AJ29" s="39" t="str">
        <f aca="false">IF(COUNTIF($P$2:P29,P29)=1,MAX($AJ$1:AJ28)+1,"")</f>
        <v/>
      </c>
      <c r="AK29" s="47" t="n">
        <f aca="false">IF(AG29=1,M29+ROW()/1000000000,"")</f>
        <v>4.52272730172727</v>
      </c>
      <c r="AL29" s="47" t="str">
        <f aca="false">IF(AND(AE29=1,I29&gt;0),I29+ROW()/1000000000,"")</f>
        <v/>
      </c>
      <c r="AM29" s="39" t="n">
        <f aca="false">IF(AND(AF29=1,ISNUMBER(W29),Z29="Dedicated"),1,0)</f>
        <v>0</v>
      </c>
      <c r="AN29" s="39" t="n">
        <f aca="false">SUM($AM$2:AM29)</f>
        <v>6</v>
      </c>
      <c r="AO29" s="39" t="n">
        <f aca="false">IF(AND(AF29=1,ISNUMBER(W29),Z29&lt;&gt;"Dedicated"),1,0)</f>
        <v>1</v>
      </c>
      <c r="AP29" s="39" t="n">
        <f aca="false">SUM($AO$2:AO29)</f>
        <v>19</v>
      </c>
      <c r="AQ29" s="39" t="n">
        <f aca="false">IF(AND(AF29=1,AG29=1),1,0)</f>
        <v>1</v>
      </c>
      <c r="AR29" s="39" t="n">
        <f aca="false">SUM($AQ$2:AQ29)</f>
        <v>28</v>
      </c>
      <c r="AS29" s="45" t="n">
        <f aca="false">IF(AQ29=1,G29,0)</f>
        <v>199.9</v>
      </c>
      <c r="AT29" s="45" t="n">
        <f aca="false">IF(AQ29=1,K29,0)</f>
        <v>5</v>
      </c>
      <c r="AU29" s="37" t="str">
        <f aca="false">TRIM(IF(Raw!N29="","weight missing; ","")&amp;IF(Raw!K29="","storage missing; ","")&amp;IF(ISNUMBER(FIND(" و ",Raw!K29)),"dual storage - SSD part used; ","")&amp;IF(ISNUMBER(SEARCH("TB",Raw!K29)),"storage written as TB; ","")&amp;IF(Raw!I29="","cpu missing; ","")&amp;IF(Raw!M29="","gpu missing; ","")&amp;IF(Raw!J29="","ram missing; ","")&amp;IF(Raw!L29="","screen missing; ",""))</f>
        <v/>
      </c>
    </row>
    <row r="30" customFormat="false" ht="15" hidden="false" customHeight="false" outlineLevel="0" collapsed="false">
      <c r="A30" s="39" t="n">
        <f aca="false">Raw!A30</f>
        <v>316871</v>
      </c>
      <c r="B30" s="37" t="str">
        <f aca="false">Raw!B30</f>
        <v>لپ تاپ لنوو 15.6 اینچی مدل LOQ i5 13450HX 16GB 512GB RTX 5050</v>
      </c>
      <c r="C30" s="37" t="str">
        <f aca="false">LOWER(TRIM(Raw!C30))</f>
        <v>lenovo</v>
      </c>
      <c r="D30" s="37" t="str">
        <f aca="false">IFERROR(INDEX(Params!$B$5:$B$13,MATCH(C30,Params!$A$5:$A$13,0)),PROPER(C30))</f>
        <v>Lenovo</v>
      </c>
      <c r="E30" s="37" t="str">
        <f aca="false">IF(Raw!F30,"Available","Out of stock")</f>
        <v>Available</v>
      </c>
      <c r="F30" s="43" t="n">
        <f aca="false">IF(Raw!D30="","",Raw!D30)</f>
        <v>346000000</v>
      </c>
      <c r="G30" s="40" t="n">
        <f aca="false">IF(ISNUMBER(F30),F30/1000000,"")</f>
        <v>346</v>
      </c>
      <c r="H30" s="43" t="str">
        <f aca="false">IF(Raw!E30="","",Raw!E30)</f>
        <v/>
      </c>
      <c r="I30" s="42" t="n">
        <f aca="false">IF(AND(ISNUMBER(H30),ISNUMBER(F30)),IF(H30&gt;F30,(H30-F30)/H30,0),0)</f>
        <v>0</v>
      </c>
      <c r="J30" s="39" t="n">
        <f aca="false">IF(I30&gt;0,1,0)</f>
        <v>0</v>
      </c>
      <c r="K30" s="45" t="n">
        <f aca="false">Raw!G30</f>
        <v>4.6</v>
      </c>
      <c r="L30" s="39" t="n">
        <f aca="false">Raw!H30</f>
        <v>9</v>
      </c>
      <c r="M30" s="41" t="n">
        <f aca="false">IF(L30&gt;0,(L30*K30+p_m*p_c)/(L30+p_m),"")</f>
        <v>4.53421052631579</v>
      </c>
      <c r="N30" s="37" t="str">
        <f aca="false">IF(Raw!I30="","",TRIM(Raw!I30))</f>
        <v>Core i5 13450HX</v>
      </c>
      <c r="O30" s="37" t="str">
        <f aca="false">IF(N30="","Unknown",IF(LEFT(N30,5)="Apple","Apple",IF(LEFT(N30,5)="Ryzen","AMD","Intel")))</f>
        <v>Intel</v>
      </c>
      <c r="P30" s="37" t="str">
        <f aca="false">IF(N30="","Unknown",IF(LEFT(N30,5)="Apple","Apple Silicon",IF(LEFT(N30,8)="Ryzen AI","Ryzen AI",TRIM(LEFT(N30,7)))))</f>
        <v>Core i5</v>
      </c>
      <c r="Q30" s="39" t="n">
        <f aca="false">IFERROR(VALUE(LEFT(Raw!J30,FIND(" ",Raw!J30)-1)),"")</f>
        <v>16</v>
      </c>
      <c r="R30" s="37" t="str">
        <f aca="false">IF(NOT(ISNUMBER(Q30)),"Unknown",IF(Q30&lt;=8,"≤ 8 GB",IF(Q30&lt;=16,"12–16 GB","20 GB +")))</f>
        <v>12–16 GB</v>
      </c>
      <c r="S30" s="37" t="str">
        <f aca="false">IF(Raw!K30="","",IF(ISNUMBER(FIND(" و ",Raw!K30)),TRIM(MID(Raw!K30,FIND(" و ",Raw!K30)+3,100)),TRIM(Raw!K30)))</f>
        <v>512 گیگابایت</v>
      </c>
      <c r="T30" s="43" t="n">
        <f aca="false">IF(S30="","",IFERROR(IFERROR(VALUE(LEFT(S30,FIND(" ",S30)-1)),VALUE(LEFT(S30,LEN(S30)-2)))*IF(OR(ISNUMBER(SEARCH("ترابایت",S30)),ISNUMBER(SEARCH("TB",S30))),1024,1),""))</f>
        <v>512</v>
      </c>
      <c r="U30" s="37" t="str">
        <f aca="false">IF(NOT(ISNUMBER(T30)),"Unknown",IF(T30&lt;=256,"≤ 256 GB",IF(T30&lt;=512,"512 GB","1 TB +")))</f>
        <v>512 GB</v>
      </c>
      <c r="V30" s="45" t="n">
        <f aca="false">IFERROR(VALUE(SUBSTITUTE(LEFT(Raw!L30,FIND(" ",Raw!L30)-1),".",MID(1/2,2,1))),"")</f>
        <v>15.6</v>
      </c>
      <c r="W30" s="41" t="n">
        <f aca="false">IFERROR(VALUE(SUBSTITUTE(LEFT(Raw!N30,FIND(" ",Raw!N30)-1),".",MID(1/2,2,1))),"")</f>
        <v>2.4</v>
      </c>
      <c r="X30" s="37" t="str">
        <f aca="false">IF(Raw!M30="","",TRIM(Raw!M30))</f>
        <v>NVIDIA GeForce RTX 5050</v>
      </c>
      <c r="Y30" s="37" t="str">
        <f aca="false">IF(X30="","Unknown",IF(ISNUMBER(SEARCH("nvidia",X30)),"NVIDIA",IF(ISNUMBER(SEARCH("amd",X30)),"AMD",IF(ISNUMBER(SEARCH("apple",X30)),"Apple",IF(ISNUMBER(SEARCH("intel",X30)),"Intel","Other")))))</f>
        <v>NVIDIA</v>
      </c>
      <c r="Z30" s="37" t="str">
        <f aca="false">IF(X30="","Unknown",IF(ISNUMBER(SEARCH("RTX",X30))+ISNUMBER(SEARCH("GTX",X30))+ISNUMBER(SEARCH("nvidia",X30))+ISNUMBER(SEARCH("Radeon RX",X30))&gt;0,"Dedicated","Integrated"))</f>
        <v>Dedicated</v>
      </c>
      <c r="AA30" s="37" t="str">
        <f aca="false">IF(ISNUMBER(SEARCH("RTX",X30)),TRIM(MID(X30,SEARCH("RTX",X30),8)),IF(X30="","Unknown",IF(Z30="Dedicated","Dedicated (model n/a)","Integrated")))</f>
        <v>RTX 5050</v>
      </c>
      <c r="AB30" s="37" t="str">
        <f aca="false">IF(ISNUMBER(G30),INDEX(Params!$E$5:$E$9,MATCH(G30,Params!$D$5:$D$9,1)),"Unknown")</f>
        <v>300–400 M</v>
      </c>
      <c r="AC30" s="45" t="n">
        <f aca="false">IF(AND(ISNUMBER(G30),ISNUMBER(Q30)),IF(Q30&gt;0,G30/Q30,""),"")</f>
        <v>21.625</v>
      </c>
      <c r="AD30" s="39" t="n">
        <f aca="false">IF(OR(p_excl=0,ISNUMBER(SEARCH("لپ",B30))),1,0)</f>
        <v>1</v>
      </c>
      <c r="AE30" s="39" t="n">
        <f aca="false">IF(AND(AD30=1,OR(fBrand="All",D30=fBrand),OR(fCPU="All",O30=fCPU),OR(fGPU="All",Z30=fGPU),OR(fTier="All",AB30=fTier),OR(fRAM="All",R30=fRAM)),1,0)</f>
        <v>1</v>
      </c>
      <c r="AF30" s="39" t="n">
        <f aca="false">IF(AND(AE30=1,ISNUMBER(G30)),1,0)</f>
        <v>1</v>
      </c>
      <c r="AG30" s="39" t="n">
        <f aca="false">IF(AND(AE30=1,L30&gt;0),1,0)</f>
        <v>1</v>
      </c>
      <c r="AH30" s="40" t="n">
        <f aca="false">IF(AF30=1,G30,"")</f>
        <v>346</v>
      </c>
      <c r="AI30" s="39" t="str">
        <f aca="false">IF(COUNTIF($D$2:D30,D30)=1,MAX($AI$1:AI29)+1,"")</f>
        <v/>
      </c>
      <c r="AJ30" s="39" t="str">
        <f aca="false">IF(COUNTIF($P$2:P30,P30)=1,MAX($AJ$1:AJ29)+1,"")</f>
        <v/>
      </c>
      <c r="AK30" s="47" t="n">
        <f aca="false">IF(AG30=1,M30+ROW()/1000000000,"")</f>
        <v>4.53421055631579</v>
      </c>
      <c r="AL30" s="47" t="str">
        <f aca="false">IF(AND(AE30=1,I30&gt;0),I30+ROW()/1000000000,"")</f>
        <v/>
      </c>
      <c r="AM30" s="39" t="n">
        <f aca="false">IF(AND(AF30=1,ISNUMBER(W30),Z30="Dedicated"),1,0)</f>
        <v>1</v>
      </c>
      <c r="AN30" s="39" t="n">
        <f aca="false">SUM($AM$2:AM30)</f>
        <v>7</v>
      </c>
      <c r="AO30" s="39" t="n">
        <f aca="false">IF(AND(AF30=1,ISNUMBER(W30),Z30&lt;&gt;"Dedicated"),1,0)</f>
        <v>0</v>
      </c>
      <c r="AP30" s="39" t="n">
        <f aca="false">SUM($AO$2:AO30)</f>
        <v>19</v>
      </c>
      <c r="AQ30" s="39" t="n">
        <f aca="false">IF(AND(AF30=1,AG30=1),1,0)</f>
        <v>1</v>
      </c>
      <c r="AR30" s="39" t="n">
        <f aca="false">SUM($AQ$2:AQ30)</f>
        <v>29</v>
      </c>
      <c r="AS30" s="45" t="n">
        <f aca="false">IF(AQ30=1,G30,0)</f>
        <v>346</v>
      </c>
      <c r="AT30" s="45" t="n">
        <f aca="false">IF(AQ30=1,K30,0)</f>
        <v>4.6</v>
      </c>
      <c r="AU30" s="37" t="str">
        <f aca="false">TRIM(IF(Raw!N30="","weight missing; ","")&amp;IF(Raw!K30="","storage missing; ","")&amp;IF(ISNUMBER(FIND(" و ",Raw!K30)),"dual storage - SSD part used; ","")&amp;IF(ISNUMBER(SEARCH("TB",Raw!K30)),"storage written as TB; ","")&amp;IF(Raw!I30="","cpu missing; ","")&amp;IF(Raw!M30="","gpu missing; ","")&amp;IF(Raw!J30="","ram missing; ","")&amp;IF(Raw!L30="","screen missing; ",""))</f>
        <v/>
      </c>
    </row>
    <row r="31" customFormat="false" ht="15" hidden="false" customHeight="false" outlineLevel="0" collapsed="false">
      <c r="A31" s="39" t="n">
        <f aca="false">Raw!A31</f>
        <v>313735</v>
      </c>
      <c r="B31" s="37" t="str">
        <f aca="false">Raw!B31</f>
        <v>لپ تاپ 15.6 اینچی ایسوس مدل ExpertBook B1503CVA i5 1334U 16GB 512GB</v>
      </c>
      <c r="C31" s="37" t="str">
        <f aca="false">LOWER(TRIM(Raw!C31))</f>
        <v>asus</v>
      </c>
      <c r="D31" s="37" t="str">
        <f aca="false">IFERROR(INDEX(Params!$B$5:$B$13,MATCH(C31,Params!$A$5:$A$13,0)),PROPER(C31))</f>
        <v>ASUS</v>
      </c>
      <c r="E31" s="37" t="str">
        <f aca="false">IF(Raw!F31,"Available","Out of stock")</f>
        <v>Available</v>
      </c>
      <c r="F31" s="43" t="n">
        <f aca="false">IF(Raw!D31="","",Raw!D31)</f>
        <v>195600000</v>
      </c>
      <c r="G31" s="40" t="n">
        <f aca="false">IF(ISNUMBER(F31),F31/1000000,"")</f>
        <v>195.6</v>
      </c>
      <c r="H31" s="43" t="str">
        <f aca="false">IF(Raw!E31="","",Raw!E31)</f>
        <v/>
      </c>
      <c r="I31" s="42" t="n">
        <f aca="false">IF(AND(ISNUMBER(H31),ISNUMBER(F31)),IF(H31&gt;F31,(H31-F31)/H31,0),0)</f>
        <v>0</v>
      </c>
      <c r="J31" s="39" t="n">
        <f aca="false">IF(I31&gt;0,1,0)</f>
        <v>0</v>
      </c>
      <c r="K31" s="45" t="n">
        <f aca="false">Raw!G31</f>
        <v>5</v>
      </c>
      <c r="L31" s="39" t="n">
        <f aca="false">Raw!H31</f>
        <v>1</v>
      </c>
      <c r="M31" s="41" t="n">
        <f aca="false">IF(L31&gt;0,(L31*K31+p_m*p_c)/(L31+p_m),"")</f>
        <v>4.52272727272727</v>
      </c>
      <c r="N31" s="37" t="str">
        <f aca="false">IF(Raw!I31="","",TRIM(Raw!I31))</f>
        <v>Core i5 1334U</v>
      </c>
      <c r="O31" s="37" t="str">
        <f aca="false">IF(N31="","Unknown",IF(LEFT(N31,5)="Apple","Apple",IF(LEFT(N31,5)="Ryzen","AMD","Intel")))</f>
        <v>Intel</v>
      </c>
      <c r="P31" s="37" t="str">
        <f aca="false">IF(N31="","Unknown",IF(LEFT(N31,5)="Apple","Apple Silicon",IF(LEFT(N31,8)="Ryzen AI","Ryzen AI",TRIM(LEFT(N31,7)))))</f>
        <v>Core i5</v>
      </c>
      <c r="Q31" s="39" t="n">
        <f aca="false">IFERROR(VALUE(LEFT(Raw!J31,FIND(" ",Raw!J31)-1)),"")</f>
        <v>16</v>
      </c>
      <c r="R31" s="37" t="str">
        <f aca="false">IF(NOT(ISNUMBER(Q31)),"Unknown",IF(Q31&lt;=8,"≤ 8 GB",IF(Q31&lt;=16,"12–16 GB","20 GB +")))</f>
        <v>12–16 GB</v>
      </c>
      <c r="S31" s="37" t="str">
        <f aca="false">IF(Raw!K31="","",IF(ISNUMBER(FIND(" و ",Raw!K31)),TRIM(MID(Raw!K31,FIND(" و ",Raw!K31)+3,100)),TRIM(Raw!K31)))</f>
        <v>512 گیگابایت</v>
      </c>
      <c r="T31" s="43" t="n">
        <f aca="false">IF(S31="","",IFERROR(IFERROR(VALUE(LEFT(S31,FIND(" ",S31)-1)),VALUE(LEFT(S31,LEN(S31)-2)))*IF(OR(ISNUMBER(SEARCH("ترابایت",S31)),ISNUMBER(SEARCH("TB",S31))),1024,1),""))</f>
        <v>512</v>
      </c>
      <c r="U31" s="37" t="str">
        <f aca="false">IF(NOT(ISNUMBER(T31)),"Unknown",IF(T31&lt;=256,"≤ 256 GB",IF(T31&lt;=512,"512 GB","1 TB +")))</f>
        <v>512 GB</v>
      </c>
      <c r="V31" s="45" t="n">
        <f aca="false">IFERROR(VALUE(SUBSTITUTE(LEFT(Raw!L31,FIND(" ",Raw!L31)-1),".",MID(1/2,2,1))),"")</f>
        <v>15.6</v>
      </c>
      <c r="W31" s="41" t="n">
        <f aca="false">IFERROR(VALUE(SUBSTITUTE(LEFT(Raw!N31,FIND(" ",Raw!N31)-1),".",MID(1/2,2,1))),"")</f>
        <v>1.63</v>
      </c>
      <c r="X31" s="37" t="str">
        <f aca="false">IF(Raw!M31="","",TRIM(Raw!M31))</f>
        <v>intel Intel Iris Xe</v>
      </c>
      <c r="Y31" s="37" t="str">
        <f aca="false">IF(X31="","Unknown",IF(ISNUMBER(SEARCH("nvidia",X31)),"NVIDIA",IF(ISNUMBER(SEARCH("amd",X31)),"AMD",IF(ISNUMBER(SEARCH("apple",X31)),"Apple",IF(ISNUMBER(SEARCH("intel",X31)),"Intel","Other")))))</f>
        <v>Intel</v>
      </c>
      <c r="Z31" s="37" t="str">
        <f aca="false">IF(X31="","Unknown",IF(ISNUMBER(SEARCH("RTX",X31))+ISNUMBER(SEARCH("GTX",X31))+ISNUMBER(SEARCH("nvidia",X31))+ISNUMBER(SEARCH("Radeon RX",X31))&gt;0,"Dedicated","Integrated"))</f>
        <v>Integrated</v>
      </c>
      <c r="AA31" s="37" t="str">
        <f aca="false">IF(ISNUMBER(SEARCH("RTX",X31)),TRIM(MID(X31,SEARCH("RTX",X31),8)),IF(X31="","Unknown",IF(Z31="Dedicated","Dedicated (model n/a)","Integrated")))</f>
        <v>Integrated</v>
      </c>
      <c r="AB31" s="37" t="str">
        <f aca="false">IF(ISNUMBER(G31),INDEX(Params!$E$5:$E$9,MATCH(G31,Params!$D$5:$D$9,1)),"Unknown")</f>
        <v>100–200 M</v>
      </c>
      <c r="AC31" s="45" t="n">
        <f aca="false">IF(AND(ISNUMBER(G31),ISNUMBER(Q31)),IF(Q31&gt;0,G31/Q31,""),"")</f>
        <v>12.225</v>
      </c>
      <c r="AD31" s="39" t="n">
        <f aca="false">IF(OR(p_excl=0,ISNUMBER(SEARCH("لپ",B31))),1,0)</f>
        <v>1</v>
      </c>
      <c r="AE31" s="39" t="n">
        <f aca="false">IF(AND(AD31=1,OR(fBrand="All",D31=fBrand),OR(fCPU="All",O31=fCPU),OR(fGPU="All",Z31=fGPU),OR(fTier="All",AB31=fTier),OR(fRAM="All",R31=fRAM)),1,0)</f>
        <v>1</v>
      </c>
      <c r="AF31" s="39" t="n">
        <f aca="false">IF(AND(AE31=1,ISNUMBER(G31)),1,0)</f>
        <v>1</v>
      </c>
      <c r="AG31" s="39" t="n">
        <f aca="false">IF(AND(AE31=1,L31&gt;0),1,0)</f>
        <v>1</v>
      </c>
      <c r="AH31" s="40" t="n">
        <f aca="false">IF(AF31=1,G31,"")</f>
        <v>195.6</v>
      </c>
      <c r="AI31" s="39" t="str">
        <f aca="false">IF(COUNTIF($D$2:D31,D31)=1,MAX($AI$1:AI30)+1,"")</f>
        <v/>
      </c>
      <c r="AJ31" s="39" t="str">
        <f aca="false">IF(COUNTIF($P$2:P31,P31)=1,MAX($AJ$1:AJ30)+1,"")</f>
        <v/>
      </c>
      <c r="AK31" s="47" t="n">
        <f aca="false">IF(AG31=1,M31+ROW()/1000000000,"")</f>
        <v>4.52272730372727</v>
      </c>
      <c r="AL31" s="47" t="str">
        <f aca="false">IF(AND(AE31=1,I31&gt;0),I31+ROW()/1000000000,"")</f>
        <v/>
      </c>
      <c r="AM31" s="39" t="n">
        <f aca="false">IF(AND(AF31=1,ISNUMBER(W31),Z31="Dedicated"),1,0)</f>
        <v>0</v>
      </c>
      <c r="AN31" s="39" t="n">
        <f aca="false">SUM($AM$2:AM31)</f>
        <v>7</v>
      </c>
      <c r="AO31" s="39" t="n">
        <f aca="false">IF(AND(AF31=1,ISNUMBER(W31),Z31&lt;&gt;"Dedicated"),1,0)</f>
        <v>1</v>
      </c>
      <c r="AP31" s="39" t="n">
        <f aca="false">SUM($AO$2:AO31)</f>
        <v>20</v>
      </c>
      <c r="AQ31" s="39" t="n">
        <f aca="false">IF(AND(AF31=1,AG31=1),1,0)</f>
        <v>1</v>
      </c>
      <c r="AR31" s="39" t="n">
        <f aca="false">SUM($AQ$2:AQ31)</f>
        <v>30</v>
      </c>
      <c r="AS31" s="45" t="n">
        <f aca="false">IF(AQ31=1,G31,0)</f>
        <v>195.6</v>
      </c>
      <c r="AT31" s="45" t="n">
        <f aca="false">IF(AQ31=1,K31,0)</f>
        <v>5</v>
      </c>
      <c r="AU31" s="37" t="str">
        <f aca="false">TRIM(IF(Raw!N31="","weight missing; ","")&amp;IF(Raw!K31="","storage missing; ","")&amp;IF(ISNUMBER(FIND(" و ",Raw!K31)),"dual storage - SSD part used; ","")&amp;IF(ISNUMBER(SEARCH("TB",Raw!K31)),"storage written as TB; ","")&amp;IF(Raw!I31="","cpu missing; ","")&amp;IF(Raw!M31="","gpu missing; ","")&amp;IF(Raw!J31="","ram missing; ","")&amp;IF(Raw!L31="","screen missing; ",""))</f>
        <v/>
      </c>
    </row>
    <row r="32" customFormat="false" ht="15" hidden="false" customHeight="false" outlineLevel="0" collapsed="false">
      <c r="A32" s="39" t="n">
        <f aca="false">Raw!A32</f>
        <v>165916</v>
      </c>
      <c r="B32" s="37" t="str">
        <f aca="false">Raw!B32</f>
        <v>گوشی موبايل سامسونگ مدل Galaxy S25 FE ظرفیت 256 گیگابایت رم 8 گیگابایت - ویتنام</v>
      </c>
      <c r="C32" s="37" t="str">
        <f aca="false">LOWER(TRIM(Raw!C32))</f>
        <v>samsung</v>
      </c>
      <c r="D32" s="37" t="str">
        <f aca="false">IFERROR(INDEX(Params!$B$5:$B$13,MATCH(C32,Params!$A$5:$A$13,0)),PROPER(C32))</f>
        <v>Samsung</v>
      </c>
      <c r="E32" s="37" t="str">
        <f aca="false">IF(Raw!F32,"Available","Out of stock")</f>
        <v>Available</v>
      </c>
      <c r="F32" s="43" t="n">
        <f aca="false">IF(Raw!D32="","",Raw!D32)</f>
        <v>198500000</v>
      </c>
      <c r="G32" s="40" t="n">
        <f aca="false">IF(ISNUMBER(F32),F32/1000000,"")</f>
        <v>198.5</v>
      </c>
      <c r="H32" s="43" t="str">
        <f aca="false">IF(Raw!E32="","",Raw!E32)</f>
        <v/>
      </c>
      <c r="I32" s="42" t="n">
        <f aca="false">IF(AND(ISNUMBER(H32),ISNUMBER(F32)),IF(H32&gt;F32,(H32-F32)/H32,0),0)</f>
        <v>0</v>
      </c>
      <c r="J32" s="39" t="n">
        <f aca="false">IF(I32&gt;0,1,0)</f>
        <v>0</v>
      </c>
      <c r="K32" s="45" t="n">
        <f aca="false">Raw!G32</f>
        <v>4</v>
      </c>
      <c r="L32" s="39" t="n">
        <f aca="false">Raw!H32</f>
        <v>198</v>
      </c>
      <c r="M32" s="41" t="n">
        <f aca="false">IF(L32&gt;0,(L32*K32+p_m*p_c)/(L32+p_m),"")</f>
        <v>4.02283653846154</v>
      </c>
      <c r="N32" s="37" t="str">
        <f aca="false">IF(Raw!I32="","",TRIM(Raw!I32))</f>
        <v/>
      </c>
      <c r="O32" s="37" t="str">
        <f aca="false">IF(N32="","Unknown",IF(LEFT(N32,5)="Apple","Apple",IF(LEFT(N32,5)="Ryzen","AMD","Intel")))</f>
        <v>Unknown</v>
      </c>
      <c r="P32" s="37" t="str">
        <f aca="false">IF(N32="","Unknown",IF(LEFT(N32,5)="Apple","Apple Silicon",IF(LEFT(N32,8)="Ryzen AI","Ryzen AI",TRIM(LEFT(N32,7)))))</f>
        <v>Unknown</v>
      </c>
      <c r="Q32" s="39" t="str">
        <f aca="false">IFERROR(VALUE(LEFT(Raw!J32,FIND(" ",Raw!J32)-1)),"")</f>
        <v/>
      </c>
      <c r="R32" s="37" t="str">
        <f aca="false">IF(NOT(ISNUMBER(Q32)),"Unknown",IF(Q32&lt;=8,"≤ 8 GB",IF(Q32&lt;=16,"12–16 GB","20 GB +")))</f>
        <v>Unknown</v>
      </c>
      <c r="S32" s="37" t="str">
        <f aca="false">IF(Raw!K32="","",IF(ISNUMBER(FIND(" و ",Raw!K32)),TRIM(MID(Raw!K32,FIND(" و ",Raw!K32)+3,100)),TRIM(Raw!K32)))</f>
        <v/>
      </c>
      <c r="T32" s="43" t="str">
        <f aca="false">IF(S32="","",IFERROR(IFERROR(VALUE(LEFT(S32,FIND(" ",S32)-1)),VALUE(LEFT(S32,LEN(S32)-2)))*IF(OR(ISNUMBER(SEARCH("ترابایت",S32)),ISNUMBER(SEARCH("TB",S32))),1024,1),""))</f>
        <v/>
      </c>
      <c r="U32" s="37" t="str">
        <f aca="false">IF(NOT(ISNUMBER(T32)),"Unknown",IF(T32&lt;=256,"≤ 256 GB",IF(T32&lt;=512,"512 GB","1 TB +")))</f>
        <v>Unknown</v>
      </c>
      <c r="V32" s="45" t="str">
        <f aca="false">IFERROR(VALUE(SUBSTITUTE(LEFT(Raw!L32,FIND(" ",Raw!L32)-1),".",MID(1/2,2,1))),"")</f>
        <v/>
      </c>
      <c r="W32" s="41" t="str">
        <f aca="false">IFERROR(VALUE(SUBSTITUTE(LEFT(Raw!N32,FIND(" ",Raw!N32)-1),".",MID(1/2,2,1))),"")</f>
        <v/>
      </c>
      <c r="X32" s="37" t="str">
        <f aca="false">IF(Raw!M32="","",TRIM(Raw!M32))</f>
        <v/>
      </c>
      <c r="Y32" s="37" t="str">
        <f aca="false">IF(X32="","Unknown",IF(ISNUMBER(SEARCH("nvidia",X32)),"NVIDIA",IF(ISNUMBER(SEARCH("amd",X32)),"AMD",IF(ISNUMBER(SEARCH("apple",X32)),"Apple",IF(ISNUMBER(SEARCH("intel",X32)),"Intel","Other")))))</f>
        <v>Unknown</v>
      </c>
      <c r="Z32" s="37" t="str">
        <f aca="false">IF(X32="","Unknown",IF(ISNUMBER(SEARCH("RTX",X32))+ISNUMBER(SEARCH("GTX",X32))+ISNUMBER(SEARCH("nvidia",X32))+ISNUMBER(SEARCH("Radeon RX",X32))&gt;0,"Dedicated","Integrated"))</f>
        <v>Unknown</v>
      </c>
      <c r="AA32" s="37" t="str">
        <f aca="false">IF(ISNUMBER(SEARCH("RTX",X32)),TRIM(MID(X32,SEARCH("RTX",X32),8)),IF(X32="","Unknown",IF(Z32="Dedicated","Dedicated (model n/a)","Integrated")))</f>
        <v>Unknown</v>
      </c>
      <c r="AB32" s="37" t="str">
        <f aca="false">IF(ISNUMBER(G32),INDEX(Params!$E$5:$E$9,MATCH(G32,Params!$D$5:$D$9,1)),"Unknown")</f>
        <v>100–200 M</v>
      </c>
      <c r="AC32" s="45" t="str">
        <f aca="false">IF(AND(ISNUMBER(G32),ISNUMBER(Q32)),IF(Q32&gt;0,G32/Q32,""),"")</f>
        <v/>
      </c>
      <c r="AD32" s="39" t="n">
        <f aca="false">IF(OR(p_excl=0,ISNUMBER(SEARCH("لپ",B32))),1,0)</f>
        <v>0</v>
      </c>
      <c r="AE32" s="39" t="n">
        <f aca="false">IF(AND(AD32=1,OR(fBrand="All",D32=fBrand),OR(fCPU="All",O32=fCPU),OR(fGPU="All",Z32=fGPU),OR(fTier="All",AB32=fTier),OR(fRAM="All",R32=fRAM)),1,0)</f>
        <v>0</v>
      </c>
      <c r="AF32" s="39" t="n">
        <f aca="false">IF(AND(AE32=1,ISNUMBER(G32)),1,0)</f>
        <v>0</v>
      </c>
      <c r="AG32" s="39" t="n">
        <f aca="false">IF(AND(AE32=1,L32&gt;0),1,0)</f>
        <v>0</v>
      </c>
      <c r="AH32" s="40" t="str">
        <f aca="false">IF(AF32=1,G32,"")</f>
        <v/>
      </c>
      <c r="AI32" s="39" t="n">
        <f aca="false">IF(COUNTIF($D$2:D32,D32)=1,MAX($AI$1:AI31)+1,"")</f>
        <v>6</v>
      </c>
      <c r="AJ32" s="39" t="n">
        <f aca="false">IF(COUNTIF($P$2:P32,P32)=1,MAX($AJ$1:AJ31)+1,"")</f>
        <v>11</v>
      </c>
      <c r="AK32" s="47" t="str">
        <f aca="false">IF(AG32=1,M32+ROW()/1000000000,"")</f>
        <v/>
      </c>
      <c r="AL32" s="47" t="str">
        <f aca="false">IF(AND(AE32=1,I32&gt;0),I32+ROW()/1000000000,"")</f>
        <v/>
      </c>
      <c r="AM32" s="39" t="n">
        <f aca="false">IF(AND(AF32=1,ISNUMBER(W32),Z32="Dedicated"),1,0)</f>
        <v>0</v>
      </c>
      <c r="AN32" s="39" t="n">
        <f aca="false">SUM($AM$2:AM32)</f>
        <v>7</v>
      </c>
      <c r="AO32" s="39" t="n">
        <f aca="false">IF(AND(AF32=1,ISNUMBER(W32),Z32&lt;&gt;"Dedicated"),1,0)</f>
        <v>0</v>
      </c>
      <c r="AP32" s="39" t="n">
        <f aca="false">SUM($AO$2:AO32)</f>
        <v>20</v>
      </c>
      <c r="AQ32" s="39" t="n">
        <f aca="false">IF(AND(AF32=1,AG32=1),1,0)</f>
        <v>0</v>
      </c>
      <c r="AR32" s="39" t="n">
        <f aca="false">SUM($AQ$2:AQ32)</f>
        <v>30</v>
      </c>
      <c r="AS32" s="45" t="n">
        <f aca="false">IF(AQ32=1,G32,0)</f>
        <v>0</v>
      </c>
      <c r="AT32" s="45" t="n">
        <f aca="false">IF(AQ32=1,K32,0)</f>
        <v>0</v>
      </c>
      <c r="AU32" s="37" t="str">
        <f aca="false">TRIM(IF(Raw!N32="","weight missing; ","")&amp;IF(Raw!K32="","storage missing; ","")&amp;IF(ISNUMBER(FIND(" و ",Raw!K32)),"dual storage - SSD part used; ","")&amp;IF(ISNUMBER(SEARCH("TB",Raw!K32)),"storage written as TB; ","")&amp;IF(Raw!I32="","cpu missing; ","")&amp;IF(Raw!M32="","gpu missing; ","")&amp;IF(Raw!J32="","ram missing; ","")&amp;IF(Raw!L32="","screen missing; ",""))</f>
        <v>weight missing; storage missing; cpu missing; gpu missing; ram missing; screen missing;</v>
      </c>
    </row>
    <row r="33" customFormat="false" ht="15" hidden="false" customHeight="false" outlineLevel="0" collapsed="false">
      <c r="A33" s="39" t="n">
        <f aca="false">Raw!A33</f>
        <v>276553</v>
      </c>
      <c r="B33" s="37" t="str">
        <f aca="false">Raw!B33</f>
        <v>لپ تاپ ایسر 15.6 اینچی مدل Aspire 5 A15 i5 13420H 8GB 512GB</v>
      </c>
      <c r="C33" s="37" t="str">
        <f aca="false">LOWER(TRIM(Raw!C33))</f>
        <v>acer</v>
      </c>
      <c r="D33" s="37" t="str">
        <f aca="false">IFERROR(INDEX(Params!$B$5:$B$13,MATCH(C33,Params!$A$5:$A$13,0)),PROPER(C33))</f>
        <v>Acer</v>
      </c>
      <c r="E33" s="37" t="str">
        <f aca="false">IF(Raw!F33,"Available","Out of stock")</f>
        <v>Available</v>
      </c>
      <c r="F33" s="43" t="n">
        <f aca="false">IF(Raw!D33="","",Raw!D33)</f>
        <v>149000000</v>
      </c>
      <c r="G33" s="40" t="n">
        <f aca="false">IF(ISNUMBER(F33),F33/1000000,"")</f>
        <v>149</v>
      </c>
      <c r="H33" s="43" t="str">
        <f aca="false">IF(Raw!E33="","",Raw!E33)</f>
        <v/>
      </c>
      <c r="I33" s="42" t="n">
        <f aca="false">IF(AND(ISNUMBER(H33),ISNUMBER(F33)),IF(H33&gt;F33,(H33-F33)/H33,0),0)</f>
        <v>0</v>
      </c>
      <c r="J33" s="39" t="n">
        <f aca="false">IF(I33&gt;0,1,0)</f>
        <v>0</v>
      </c>
      <c r="K33" s="45" t="n">
        <f aca="false">Raw!G33</f>
        <v>5</v>
      </c>
      <c r="L33" s="39" t="n">
        <f aca="false">Raw!H33</f>
        <v>1</v>
      </c>
      <c r="M33" s="41" t="n">
        <f aca="false">IF(L33&gt;0,(L33*K33+p_m*p_c)/(L33+p_m),"")</f>
        <v>4.52272727272727</v>
      </c>
      <c r="N33" s="37" t="str">
        <f aca="false">IF(Raw!I33="","",TRIM(Raw!I33))</f>
        <v>Core i5 13420H</v>
      </c>
      <c r="O33" s="37" t="str">
        <f aca="false">IF(N33="","Unknown",IF(LEFT(N33,5)="Apple","Apple",IF(LEFT(N33,5)="Ryzen","AMD","Intel")))</f>
        <v>Intel</v>
      </c>
      <c r="P33" s="37" t="str">
        <f aca="false">IF(N33="","Unknown",IF(LEFT(N33,5)="Apple","Apple Silicon",IF(LEFT(N33,8)="Ryzen AI","Ryzen AI",TRIM(LEFT(N33,7)))))</f>
        <v>Core i5</v>
      </c>
      <c r="Q33" s="39" t="n">
        <f aca="false">IFERROR(VALUE(LEFT(Raw!J33,FIND(" ",Raw!J33)-1)),"")</f>
        <v>8</v>
      </c>
      <c r="R33" s="37" t="str">
        <f aca="false">IF(NOT(ISNUMBER(Q33)),"Unknown",IF(Q33&lt;=8,"≤ 8 GB",IF(Q33&lt;=16,"12–16 GB","20 GB +")))</f>
        <v>≤ 8 GB</v>
      </c>
      <c r="S33" s="37" t="str">
        <f aca="false">IF(Raw!K33="","",IF(ISNUMBER(FIND(" و ",Raw!K33)),TRIM(MID(Raw!K33,FIND(" و ",Raw!K33)+3,100)),TRIM(Raw!K33)))</f>
        <v>512 گیگابایت</v>
      </c>
      <c r="T33" s="43" t="n">
        <f aca="false">IF(S33="","",IFERROR(IFERROR(VALUE(LEFT(S33,FIND(" ",S33)-1)),VALUE(LEFT(S33,LEN(S33)-2)))*IF(OR(ISNUMBER(SEARCH("ترابایت",S33)),ISNUMBER(SEARCH("TB",S33))),1024,1),""))</f>
        <v>512</v>
      </c>
      <c r="U33" s="37" t="str">
        <f aca="false">IF(NOT(ISNUMBER(T33)),"Unknown",IF(T33&lt;=256,"≤ 256 GB",IF(T33&lt;=512,"512 GB","1 TB +")))</f>
        <v>512 GB</v>
      </c>
      <c r="V33" s="45" t="n">
        <f aca="false">IFERROR(VALUE(SUBSTITUTE(LEFT(Raw!L33,FIND(" ",Raw!L33)-1),".",MID(1/2,2,1))),"")</f>
        <v>15.6</v>
      </c>
      <c r="W33" s="41" t="n">
        <f aca="false">IFERROR(VALUE(SUBSTITUTE(LEFT(Raw!N33,FIND(" ",Raw!N33)-1),".",MID(1/2,2,1))),"")</f>
        <v>1.77</v>
      </c>
      <c r="X33" s="37" t="str">
        <f aca="false">IF(Raw!M33="","",TRIM(Raw!M33))</f>
        <v>Intel UHD Graphics</v>
      </c>
      <c r="Y33" s="37" t="str">
        <f aca="false">IF(X33="","Unknown",IF(ISNUMBER(SEARCH("nvidia",X33)),"NVIDIA",IF(ISNUMBER(SEARCH("amd",X33)),"AMD",IF(ISNUMBER(SEARCH("apple",X33)),"Apple",IF(ISNUMBER(SEARCH("intel",X33)),"Intel","Other")))))</f>
        <v>Intel</v>
      </c>
      <c r="Z33" s="37" t="str">
        <f aca="false">IF(X33="","Unknown",IF(ISNUMBER(SEARCH("RTX",X33))+ISNUMBER(SEARCH("GTX",X33))+ISNUMBER(SEARCH("nvidia",X33))+ISNUMBER(SEARCH("Radeon RX",X33))&gt;0,"Dedicated","Integrated"))</f>
        <v>Integrated</v>
      </c>
      <c r="AA33" s="37" t="str">
        <f aca="false">IF(ISNUMBER(SEARCH("RTX",X33)),TRIM(MID(X33,SEARCH("RTX",X33),8)),IF(X33="","Unknown",IF(Z33="Dedicated","Dedicated (model n/a)","Integrated")))</f>
        <v>Integrated</v>
      </c>
      <c r="AB33" s="37" t="str">
        <f aca="false">IF(ISNUMBER(G33),INDEX(Params!$E$5:$E$9,MATCH(G33,Params!$D$5:$D$9,1)),"Unknown")</f>
        <v>100–200 M</v>
      </c>
      <c r="AC33" s="45" t="n">
        <f aca="false">IF(AND(ISNUMBER(G33),ISNUMBER(Q33)),IF(Q33&gt;0,G33/Q33,""),"")</f>
        <v>18.625</v>
      </c>
      <c r="AD33" s="39" t="n">
        <f aca="false">IF(OR(p_excl=0,ISNUMBER(SEARCH("لپ",B33))),1,0)</f>
        <v>1</v>
      </c>
      <c r="AE33" s="39" t="n">
        <f aca="false">IF(AND(AD33=1,OR(fBrand="All",D33=fBrand),OR(fCPU="All",O33=fCPU),OR(fGPU="All",Z33=fGPU),OR(fTier="All",AB33=fTier),OR(fRAM="All",R33=fRAM)),1,0)</f>
        <v>1</v>
      </c>
      <c r="AF33" s="39" t="n">
        <f aca="false">IF(AND(AE33=1,ISNUMBER(G33)),1,0)</f>
        <v>1</v>
      </c>
      <c r="AG33" s="39" t="n">
        <f aca="false">IF(AND(AE33=1,L33&gt;0),1,0)</f>
        <v>1</v>
      </c>
      <c r="AH33" s="40" t="n">
        <f aca="false">IF(AF33=1,G33,"")</f>
        <v>149</v>
      </c>
      <c r="AI33" s="39" t="n">
        <f aca="false">IF(COUNTIF($D$2:D33,D33)=1,MAX($AI$1:AI32)+1,"")</f>
        <v>7</v>
      </c>
      <c r="AJ33" s="39" t="str">
        <f aca="false">IF(COUNTIF($P$2:P33,P33)=1,MAX($AJ$1:AJ32)+1,"")</f>
        <v/>
      </c>
      <c r="AK33" s="47" t="n">
        <f aca="false">IF(AG33=1,M33+ROW()/1000000000,"")</f>
        <v>4.52272730572727</v>
      </c>
      <c r="AL33" s="47" t="str">
        <f aca="false">IF(AND(AE33=1,I33&gt;0),I33+ROW()/1000000000,"")</f>
        <v/>
      </c>
      <c r="AM33" s="39" t="n">
        <f aca="false">IF(AND(AF33=1,ISNUMBER(W33),Z33="Dedicated"),1,0)</f>
        <v>0</v>
      </c>
      <c r="AN33" s="39" t="n">
        <f aca="false">SUM($AM$2:AM33)</f>
        <v>7</v>
      </c>
      <c r="AO33" s="39" t="n">
        <f aca="false">IF(AND(AF33=1,ISNUMBER(W33),Z33&lt;&gt;"Dedicated"),1,0)</f>
        <v>1</v>
      </c>
      <c r="AP33" s="39" t="n">
        <f aca="false">SUM($AO$2:AO33)</f>
        <v>21</v>
      </c>
      <c r="AQ33" s="39" t="n">
        <f aca="false">IF(AND(AF33=1,AG33=1),1,0)</f>
        <v>1</v>
      </c>
      <c r="AR33" s="39" t="n">
        <f aca="false">SUM($AQ$2:AQ33)</f>
        <v>31</v>
      </c>
      <c r="AS33" s="45" t="n">
        <f aca="false">IF(AQ33=1,G33,0)</f>
        <v>149</v>
      </c>
      <c r="AT33" s="45" t="n">
        <f aca="false">IF(AQ33=1,K33,0)</f>
        <v>5</v>
      </c>
      <c r="AU33" s="37" t="str">
        <f aca="false">TRIM(IF(Raw!N33="","weight missing; ","")&amp;IF(Raw!K33="","storage missing; ","")&amp;IF(ISNUMBER(FIND(" و ",Raw!K33)),"dual storage - SSD part used; ","")&amp;IF(ISNUMBER(SEARCH("TB",Raw!K33)),"storage written as TB; ","")&amp;IF(Raw!I33="","cpu missing; ","")&amp;IF(Raw!M33="","gpu missing; ","")&amp;IF(Raw!J33="","ram missing; ","")&amp;IF(Raw!L33="","screen missing; ",""))</f>
        <v/>
      </c>
    </row>
    <row r="34" customFormat="false" ht="15" hidden="false" customHeight="false" outlineLevel="0" collapsed="false">
      <c r="A34" s="39" t="n">
        <f aca="false">Raw!A34</f>
        <v>74107</v>
      </c>
      <c r="B34" s="37" t="str">
        <f aca="false">Raw!B34</f>
        <v>لپ تاپ 15.6 اینچ اچ پی مدل Victus 15 FA1082WM i5 13420H 16GB 512GB RTX 4050</v>
      </c>
      <c r="C34" s="37" t="str">
        <f aca="false">LOWER(TRIM(Raw!C34))</f>
        <v>hp</v>
      </c>
      <c r="D34" s="37" t="str">
        <f aca="false">IFERROR(INDEX(Params!$B$5:$B$13,MATCH(C34,Params!$A$5:$A$13,0)),PROPER(C34))</f>
        <v>HP</v>
      </c>
      <c r="E34" s="37" t="str">
        <f aca="false">IF(Raw!F34,"Available","Out of stock")</f>
        <v>Available</v>
      </c>
      <c r="F34" s="43" t="n">
        <f aca="false">IF(Raw!D34="","",Raw!D34)</f>
        <v>259000000</v>
      </c>
      <c r="G34" s="40" t="n">
        <f aca="false">IF(ISNUMBER(F34),F34/1000000,"")</f>
        <v>259</v>
      </c>
      <c r="H34" s="43" t="str">
        <f aca="false">IF(Raw!E34="","",Raw!E34)</f>
        <v/>
      </c>
      <c r="I34" s="42" t="n">
        <f aca="false">IF(AND(ISNUMBER(H34),ISNUMBER(F34)),IF(H34&gt;F34,(H34-F34)/H34,0),0)</f>
        <v>0</v>
      </c>
      <c r="J34" s="39" t="n">
        <f aca="false">IF(I34&gt;0,1,0)</f>
        <v>0</v>
      </c>
      <c r="K34" s="45" t="n">
        <f aca="false">Raw!G34</f>
        <v>4.5</v>
      </c>
      <c r="L34" s="39" t="n">
        <f aca="false">Raw!H34</f>
        <v>15</v>
      </c>
      <c r="M34" s="41" t="n">
        <f aca="false">IF(L34&gt;0,(L34*K34+p_m*p_c)/(L34+p_m),"")</f>
        <v>4.49</v>
      </c>
      <c r="N34" s="37" t="str">
        <f aca="false">IF(Raw!I34="","",TRIM(Raw!I34))</f>
        <v>Core i5 13420H</v>
      </c>
      <c r="O34" s="37" t="str">
        <f aca="false">IF(N34="","Unknown",IF(LEFT(N34,5)="Apple","Apple",IF(LEFT(N34,5)="Ryzen","AMD","Intel")))</f>
        <v>Intel</v>
      </c>
      <c r="P34" s="37" t="str">
        <f aca="false">IF(N34="","Unknown",IF(LEFT(N34,5)="Apple","Apple Silicon",IF(LEFT(N34,8)="Ryzen AI","Ryzen AI",TRIM(LEFT(N34,7)))))</f>
        <v>Core i5</v>
      </c>
      <c r="Q34" s="39" t="n">
        <f aca="false">IFERROR(VALUE(LEFT(Raw!J34,FIND(" ",Raw!J34)-1)),"")</f>
        <v>16</v>
      </c>
      <c r="R34" s="37" t="str">
        <f aca="false">IF(NOT(ISNUMBER(Q34)),"Unknown",IF(Q34&lt;=8,"≤ 8 GB",IF(Q34&lt;=16,"12–16 GB","20 GB +")))</f>
        <v>12–16 GB</v>
      </c>
      <c r="S34" s="37" t="str">
        <f aca="false">IF(Raw!K34="","",IF(ISNUMBER(FIND(" و ",Raw!K34)),TRIM(MID(Raw!K34,FIND(" و ",Raw!K34)+3,100)),TRIM(Raw!K34)))</f>
        <v>512 گیگابایت</v>
      </c>
      <c r="T34" s="43" t="n">
        <f aca="false">IF(S34="","",IFERROR(IFERROR(VALUE(LEFT(S34,FIND(" ",S34)-1)),VALUE(LEFT(S34,LEN(S34)-2)))*IF(OR(ISNUMBER(SEARCH("ترابایت",S34)),ISNUMBER(SEARCH("TB",S34))),1024,1),""))</f>
        <v>512</v>
      </c>
      <c r="U34" s="37" t="str">
        <f aca="false">IF(NOT(ISNUMBER(T34)),"Unknown",IF(T34&lt;=256,"≤ 256 GB",IF(T34&lt;=512,"512 GB","1 TB +")))</f>
        <v>512 GB</v>
      </c>
      <c r="V34" s="45" t="n">
        <f aca="false">IFERROR(VALUE(SUBSTITUTE(LEFT(Raw!L34,FIND(" ",Raw!L34)-1),".",MID(1/2,2,1))),"")</f>
        <v>15.6</v>
      </c>
      <c r="W34" s="41" t="n">
        <f aca="false">IFERROR(VALUE(SUBSTITUTE(LEFT(Raw!N34,FIND(" ",Raw!N34)-1),".",MID(1/2,2,1))),"")</f>
        <v>2.29</v>
      </c>
      <c r="X34" s="37" t="str">
        <f aca="false">IF(Raw!M34="","",TRIM(Raw!M34))</f>
        <v>NVIDIA GeForce RTX 4050</v>
      </c>
      <c r="Y34" s="37" t="str">
        <f aca="false">IF(X34="","Unknown",IF(ISNUMBER(SEARCH("nvidia",X34)),"NVIDIA",IF(ISNUMBER(SEARCH("amd",X34)),"AMD",IF(ISNUMBER(SEARCH("apple",X34)),"Apple",IF(ISNUMBER(SEARCH("intel",X34)),"Intel","Other")))))</f>
        <v>NVIDIA</v>
      </c>
      <c r="Z34" s="37" t="str">
        <f aca="false">IF(X34="","Unknown",IF(ISNUMBER(SEARCH("RTX",X34))+ISNUMBER(SEARCH("GTX",X34))+ISNUMBER(SEARCH("nvidia",X34))+ISNUMBER(SEARCH("Radeon RX",X34))&gt;0,"Dedicated","Integrated"))</f>
        <v>Dedicated</v>
      </c>
      <c r="AA34" s="37" t="str">
        <f aca="false">IF(ISNUMBER(SEARCH("RTX",X34)),TRIM(MID(X34,SEARCH("RTX",X34),8)),IF(X34="","Unknown",IF(Z34="Dedicated","Dedicated (model n/a)","Integrated")))</f>
        <v>RTX 4050</v>
      </c>
      <c r="AB34" s="37" t="str">
        <f aca="false">IF(ISNUMBER(G34),INDEX(Params!$E$5:$E$9,MATCH(G34,Params!$D$5:$D$9,1)),"Unknown")</f>
        <v>200–300 M</v>
      </c>
      <c r="AC34" s="45" t="n">
        <f aca="false">IF(AND(ISNUMBER(G34),ISNUMBER(Q34)),IF(Q34&gt;0,G34/Q34,""),"")</f>
        <v>16.1875</v>
      </c>
      <c r="AD34" s="39" t="n">
        <f aca="false">IF(OR(p_excl=0,ISNUMBER(SEARCH("لپ",B34))),1,0)</f>
        <v>1</v>
      </c>
      <c r="AE34" s="39" t="n">
        <f aca="false">IF(AND(AD34=1,OR(fBrand="All",D34=fBrand),OR(fCPU="All",O34=fCPU),OR(fGPU="All",Z34=fGPU),OR(fTier="All",AB34=fTier),OR(fRAM="All",R34=fRAM)),1,0)</f>
        <v>1</v>
      </c>
      <c r="AF34" s="39" t="n">
        <f aca="false">IF(AND(AE34=1,ISNUMBER(G34)),1,0)</f>
        <v>1</v>
      </c>
      <c r="AG34" s="39" t="n">
        <f aca="false">IF(AND(AE34=1,L34&gt;0),1,0)</f>
        <v>1</v>
      </c>
      <c r="AH34" s="40" t="n">
        <f aca="false">IF(AF34=1,G34,"")</f>
        <v>259</v>
      </c>
      <c r="AI34" s="39" t="str">
        <f aca="false">IF(COUNTIF($D$2:D34,D34)=1,MAX($AI$1:AI33)+1,"")</f>
        <v/>
      </c>
      <c r="AJ34" s="39" t="str">
        <f aca="false">IF(COUNTIF($P$2:P34,P34)=1,MAX($AJ$1:AJ33)+1,"")</f>
        <v/>
      </c>
      <c r="AK34" s="47" t="n">
        <f aca="false">IF(AG34=1,M34+ROW()/1000000000,"")</f>
        <v>4.490000034</v>
      </c>
      <c r="AL34" s="47" t="str">
        <f aca="false">IF(AND(AE34=1,I34&gt;0),I34+ROW()/1000000000,"")</f>
        <v/>
      </c>
      <c r="AM34" s="39" t="n">
        <f aca="false">IF(AND(AF34=1,ISNUMBER(W34),Z34="Dedicated"),1,0)</f>
        <v>1</v>
      </c>
      <c r="AN34" s="39" t="n">
        <f aca="false">SUM($AM$2:AM34)</f>
        <v>8</v>
      </c>
      <c r="AO34" s="39" t="n">
        <f aca="false">IF(AND(AF34=1,ISNUMBER(W34),Z34&lt;&gt;"Dedicated"),1,0)</f>
        <v>0</v>
      </c>
      <c r="AP34" s="39" t="n">
        <f aca="false">SUM($AO$2:AO34)</f>
        <v>21</v>
      </c>
      <c r="AQ34" s="39" t="n">
        <f aca="false">IF(AND(AF34=1,AG34=1),1,0)</f>
        <v>1</v>
      </c>
      <c r="AR34" s="39" t="n">
        <f aca="false">SUM($AQ$2:AQ34)</f>
        <v>32</v>
      </c>
      <c r="AS34" s="45" t="n">
        <f aca="false">IF(AQ34=1,G34,0)</f>
        <v>259</v>
      </c>
      <c r="AT34" s="45" t="n">
        <f aca="false">IF(AQ34=1,K34,0)</f>
        <v>4.5</v>
      </c>
      <c r="AU34" s="37" t="str">
        <f aca="false">TRIM(IF(Raw!N34="","weight missing; ","")&amp;IF(Raw!K34="","storage missing; ","")&amp;IF(ISNUMBER(FIND(" و ",Raw!K34)),"dual storage - SSD part used; ","")&amp;IF(ISNUMBER(SEARCH("TB",Raw!K34)),"storage written as TB; ","")&amp;IF(Raw!I34="","cpu missing; ","")&amp;IF(Raw!M34="","gpu missing; ","")&amp;IF(Raw!J34="","ram missing; ","")&amp;IF(Raw!L34="","screen missing; ",""))</f>
        <v/>
      </c>
    </row>
    <row r="35" customFormat="false" ht="15" hidden="false" customHeight="false" outlineLevel="0" collapsed="false">
      <c r="A35" s="39" t="n">
        <f aca="false">Raw!A35</f>
        <v>61558</v>
      </c>
      <c r="B35" s="37" t="str">
        <f aca="false">Raw!B35</f>
        <v>لپ تاپ ایسوس 14 اینچی مدل Vivobook E410KA Celeron N4500 4GB 64GB</v>
      </c>
      <c r="C35" s="37" t="str">
        <f aca="false">LOWER(TRIM(Raw!C35))</f>
        <v>asus</v>
      </c>
      <c r="D35" s="37" t="str">
        <f aca="false">IFERROR(INDEX(Params!$B$5:$B$13,MATCH(C35,Params!$A$5:$A$13,0)),PROPER(C35))</f>
        <v>ASUS</v>
      </c>
      <c r="E35" s="37" t="str">
        <f aca="false">IF(Raw!F35,"Available","Out of stock")</f>
        <v>Available</v>
      </c>
      <c r="F35" s="43" t="n">
        <f aca="false">IF(Raw!D35="","",Raw!D35)</f>
        <v>69600000</v>
      </c>
      <c r="G35" s="40" t="n">
        <f aca="false">IF(ISNUMBER(F35),F35/1000000,"")</f>
        <v>69.6</v>
      </c>
      <c r="H35" s="43" t="str">
        <f aca="false">IF(Raw!E35="","",Raw!E35)</f>
        <v/>
      </c>
      <c r="I35" s="42" t="n">
        <f aca="false">IF(AND(ISNUMBER(H35),ISNUMBER(F35)),IF(H35&gt;F35,(H35-F35)/H35,0),0)</f>
        <v>0</v>
      </c>
      <c r="J35" s="39" t="n">
        <f aca="false">IF(I35&gt;0,1,0)</f>
        <v>0</v>
      </c>
      <c r="K35" s="45" t="n">
        <f aca="false">Raw!G35</f>
        <v>4.1</v>
      </c>
      <c r="L35" s="39" t="n">
        <f aca="false">Raw!H35</f>
        <v>27</v>
      </c>
      <c r="M35" s="41" t="n">
        <f aca="false">IF(L35&gt;0,(L35*K35+p_m*p_c)/(L35+p_m),"")</f>
        <v>4.20135135135135</v>
      </c>
      <c r="N35" s="37" t="str">
        <f aca="false">IF(Raw!I35="","",TRIM(Raw!I35))</f>
        <v>Celeron N4500</v>
      </c>
      <c r="O35" s="37" t="str">
        <f aca="false">IF(N35="","Unknown",IF(LEFT(N35,5)="Apple","Apple",IF(LEFT(N35,5)="Ryzen","AMD","Intel")))</f>
        <v>Intel</v>
      </c>
      <c r="P35" s="37" t="str">
        <f aca="false">IF(N35="","Unknown",IF(LEFT(N35,5)="Apple","Apple Silicon",IF(LEFT(N35,8)="Ryzen AI","Ryzen AI",TRIM(LEFT(N35,7)))))</f>
        <v>Celeron</v>
      </c>
      <c r="Q35" s="39" t="n">
        <f aca="false">IFERROR(VALUE(LEFT(Raw!J35,FIND(" ",Raw!J35)-1)),"")</f>
        <v>4</v>
      </c>
      <c r="R35" s="37" t="str">
        <f aca="false">IF(NOT(ISNUMBER(Q35)),"Unknown",IF(Q35&lt;=8,"≤ 8 GB",IF(Q35&lt;=16,"12–16 GB","20 GB +")))</f>
        <v>≤ 8 GB</v>
      </c>
      <c r="S35" s="37" t="str">
        <f aca="false">IF(Raw!K35="","",IF(ISNUMBER(FIND(" و ",Raw!K35)),TRIM(MID(Raw!K35,FIND(" و ",Raw!K35)+3,100)),TRIM(Raw!K35)))</f>
        <v>64 گیگابایت</v>
      </c>
      <c r="T35" s="43" t="n">
        <f aca="false">IF(S35="","",IFERROR(IFERROR(VALUE(LEFT(S35,FIND(" ",S35)-1)),VALUE(LEFT(S35,LEN(S35)-2)))*IF(OR(ISNUMBER(SEARCH("ترابایت",S35)),ISNUMBER(SEARCH("TB",S35))),1024,1),""))</f>
        <v>64</v>
      </c>
      <c r="U35" s="37" t="str">
        <f aca="false">IF(NOT(ISNUMBER(T35)),"Unknown",IF(T35&lt;=256,"≤ 256 GB",IF(T35&lt;=512,"512 GB","1 TB +")))</f>
        <v>≤ 256 GB</v>
      </c>
      <c r="V35" s="45" t="n">
        <f aca="false">IFERROR(VALUE(SUBSTITUTE(LEFT(Raw!L35,FIND(" ",Raw!L35)-1),".",MID(1/2,2,1))),"")</f>
        <v>14</v>
      </c>
      <c r="W35" s="41" t="n">
        <f aca="false">IFERROR(VALUE(SUBSTITUTE(LEFT(Raw!N35,FIND(" ",Raw!N35)-1),".",MID(1/2,2,1))),"")</f>
        <v>1.3</v>
      </c>
      <c r="X35" s="37" t="str">
        <f aca="false">IF(Raw!M35="","",TRIM(Raw!M35))</f>
        <v>Intel UHD Graphics</v>
      </c>
      <c r="Y35" s="37" t="str">
        <f aca="false">IF(X35="","Unknown",IF(ISNUMBER(SEARCH("nvidia",X35)),"NVIDIA",IF(ISNUMBER(SEARCH("amd",X35)),"AMD",IF(ISNUMBER(SEARCH("apple",X35)),"Apple",IF(ISNUMBER(SEARCH("intel",X35)),"Intel","Other")))))</f>
        <v>Intel</v>
      </c>
      <c r="Z35" s="37" t="str">
        <f aca="false">IF(X35="","Unknown",IF(ISNUMBER(SEARCH("RTX",X35))+ISNUMBER(SEARCH("GTX",X35))+ISNUMBER(SEARCH("nvidia",X35))+ISNUMBER(SEARCH("Radeon RX",X35))&gt;0,"Dedicated","Integrated"))</f>
        <v>Integrated</v>
      </c>
      <c r="AA35" s="37" t="str">
        <f aca="false">IF(ISNUMBER(SEARCH("RTX",X35)),TRIM(MID(X35,SEARCH("RTX",X35),8)),IF(X35="","Unknown",IF(Z35="Dedicated","Dedicated (model n/a)","Integrated")))</f>
        <v>Integrated</v>
      </c>
      <c r="AB35" s="37" t="str">
        <f aca="false">IF(ISNUMBER(G35),INDEX(Params!$E$5:$E$9,MATCH(G35,Params!$D$5:$D$9,1)),"Unknown")</f>
        <v>&lt; 100 M</v>
      </c>
      <c r="AC35" s="45" t="n">
        <f aca="false">IF(AND(ISNUMBER(G35),ISNUMBER(Q35)),IF(Q35&gt;0,G35/Q35,""),"")</f>
        <v>17.4</v>
      </c>
      <c r="AD35" s="39" t="n">
        <f aca="false">IF(OR(p_excl=0,ISNUMBER(SEARCH("لپ",B35))),1,0)</f>
        <v>1</v>
      </c>
      <c r="AE35" s="39" t="n">
        <f aca="false">IF(AND(AD35=1,OR(fBrand="All",D35=fBrand),OR(fCPU="All",O35=fCPU),OR(fGPU="All",Z35=fGPU),OR(fTier="All",AB35=fTier),OR(fRAM="All",R35=fRAM)),1,0)</f>
        <v>1</v>
      </c>
      <c r="AF35" s="39" t="n">
        <f aca="false">IF(AND(AE35=1,ISNUMBER(G35)),1,0)</f>
        <v>1</v>
      </c>
      <c r="AG35" s="39" t="n">
        <f aca="false">IF(AND(AE35=1,L35&gt;0),1,0)</f>
        <v>1</v>
      </c>
      <c r="AH35" s="40" t="n">
        <f aca="false">IF(AF35=1,G35,"")</f>
        <v>69.6</v>
      </c>
      <c r="AI35" s="39" t="str">
        <f aca="false">IF(COUNTIF($D$2:D35,D35)=1,MAX($AI$1:AI34)+1,"")</f>
        <v/>
      </c>
      <c r="AJ35" s="39" t="str">
        <f aca="false">IF(COUNTIF($P$2:P35,P35)=1,MAX($AJ$1:AJ34)+1,"")</f>
        <v/>
      </c>
      <c r="AK35" s="47" t="n">
        <f aca="false">IF(AG35=1,M35+ROW()/1000000000,"")</f>
        <v>4.20135138635135</v>
      </c>
      <c r="AL35" s="47" t="str">
        <f aca="false">IF(AND(AE35=1,I35&gt;0),I35+ROW()/1000000000,"")</f>
        <v/>
      </c>
      <c r="AM35" s="39" t="n">
        <f aca="false">IF(AND(AF35=1,ISNUMBER(W35),Z35="Dedicated"),1,0)</f>
        <v>0</v>
      </c>
      <c r="AN35" s="39" t="n">
        <f aca="false">SUM($AM$2:AM35)</f>
        <v>8</v>
      </c>
      <c r="AO35" s="39" t="n">
        <f aca="false">IF(AND(AF35=1,ISNUMBER(W35),Z35&lt;&gt;"Dedicated"),1,0)</f>
        <v>1</v>
      </c>
      <c r="AP35" s="39" t="n">
        <f aca="false">SUM($AO$2:AO35)</f>
        <v>22</v>
      </c>
      <c r="AQ35" s="39" t="n">
        <f aca="false">IF(AND(AF35=1,AG35=1),1,0)</f>
        <v>1</v>
      </c>
      <c r="AR35" s="39" t="n">
        <f aca="false">SUM($AQ$2:AQ35)</f>
        <v>33</v>
      </c>
      <c r="AS35" s="45" t="n">
        <f aca="false">IF(AQ35=1,G35,0)</f>
        <v>69.6</v>
      </c>
      <c r="AT35" s="45" t="n">
        <f aca="false">IF(AQ35=1,K35,0)</f>
        <v>4.1</v>
      </c>
      <c r="AU35" s="37" t="str">
        <f aca="false">TRIM(IF(Raw!N35="","weight missing; ","")&amp;IF(Raw!K35="","storage missing; ","")&amp;IF(ISNUMBER(FIND(" و ",Raw!K35)),"dual storage - SSD part used; ","")&amp;IF(ISNUMBER(SEARCH("TB",Raw!K35)),"storage written as TB; ","")&amp;IF(Raw!I35="","cpu missing; ","")&amp;IF(Raw!M35="","gpu missing; ","")&amp;IF(Raw!J35="","ram missing; ","")&amp;IF(Raw!L35="","screen missing; ",""))</f>
        <v/>
      </c>
    </row>
    <row r="36" customFormat="false" ht="15" hidden="false" customHeight="false" outlineLevel="0" collapsed="false">
      <c r="A36" s="39" t="n">
        <f aca="false">Raw!A36</f>
        <v>61554</v>
      </c>
      <c r="B36" s="37" t="str">
        <f aca="false">Raw!B36</f>
        <v>لپ تاپ ایسوس 14 اینچی مدل Vivobook E410KA Celeron N4500 4GB 512GB 64GB</v>
      </c>
      <c r="C36" s="37" t="str">
        <f aca="false">LOWER(TRIM(Raw!C36))</f>
        <v>asus</v>
      </c>
      <c r="D36" s="37" t="str">
        <f aca="false">IFERROR(INDEX(Params!$B$5:$B$13,MATCH(C36,Params!$A$5:$A$13,0)),PROPER(C36))</f>
        <v>ASUS</v>
      </c>
      <c r="E36" s="37" t="str">
        <f aca="false">IF(Raw!F36,"Available","Out of stock")</f>
        <v>Available</v>
      </c>
      <c r="F36" s="43" t="n">
        <f aca="false">IF(Raw!D36="","",Raw!D36)</f>
        <v>69500000</v>
      </c>
      <c r="G36" s="40" t="n">
        <f aca="false">IF(ISNUMBER(F36),F36/1000000,"")</f>
        <v>69.5</v>
      </c>
      <c r="H36" s="43" t="str">
        <f aca="false">IF(Raw!E36="","",Raw!E36)</f>
        <v/>
      </c>
      <c r="I36" s="42" t="n">
        <f aca="false">IF(AND(ISNUMBER(H36),ISNUMBER(F36)),IF(H36&gt;F36,(H36-F36)/H36,0),0)</f>
        <v>0</v>
      </c>
      <c r="J36" s="39" t="n">
        <f aca="false">IF(I36&gt;0,1,0)</f>
        <v>0</v>
      </c>
      <c r="K36" s="45" t="n">
        <f aca="false">Raw!G36</f>
        <v>3.8</v>
      </c>
      <c r="L36" s="39" t="n">
        <f aca="false">Raw!H36</f>
        <v>27</v>
      </c>
      <c r="M36" s="41" t="n">
        <f aca="false">IF(L36&gt;0,(L36*K36+p_m*p_c)/(L36+p_m),"")</f>
        <v>3.98243243243243</v>
      </c>
      <c r="N36" s="37" t="str">
        <f aca="false">IF(Raw!I36="","",TRIM(Raw!I36))</f>
        <v>Celeron N4500</v>
      </c>
      <c r="O36" s="37" t="str">
        <f aca="false">IF(N36="","Unknown",IF(LEFT(N36,5)="Apple","Apple",IF(LEFT(N36,5)="Ryzen","AMD","Intel")))</f>
        <v>Intel</v>
      </c>
      <c r="P36" s="37" t="str">
        <f aca="false">IF(N36="","Unknown",IF(LEFT(N36,5)="Apple","Apple Silicon",IF(LEFT(N36,8)="Ryzen AI","Ryzen AI",TRIM(LEFT(N36,7)))))</f>
        <v>Celeron</v>
      </c>
      <c r="Q36" s="39" t="n">
        <f aca="false">IFERROR(VALUE(LEFT(Raw!J36,FIND(" ",Raw!J36)-1)),"")</f>
        <v>4</v>
      </c>
      <c r="R36" s="37" t="str">
        <f aca="false">IF(NOT(ISNUMBER(Q36)),"Unknown",IF(Q36&lt;=8,"≤ 8 GB",IF(Q36&lt;=16,"12–16 GB","20 GB +")))</f>
        <v>≤ 8 GB</v>
      </c>
      <c r="S36" s="37" t="str">
        <f aca="false">IF(Raw!K36="","",IF(ISNUMBER(FIND(" و ",Raw!K36)),TRIM(MID(Raw!K36,FIND(" و ",Raw!K36)+3,100)),TRIM(Raw!K36)))</f>
        <v>512 گیگابایت حافظه SSD</v>
      </c>
      <c r="T36" s="43" t="n">
        <f aca="false">IF(S36="","",IFERROR(IFERROR(VALUE(LEFT(S36,FIND(" ",S36)-1)),VALUE(LEFT(S36,LEN(S36)-2)))*IF(OR(ISNUMBER(SEARCH("ترابایت",S36)),ISNUMBER(SEARCH("TB",S36))),1024,1),""))</f>
        <v>512</v>
      </c>
      <c r="U36" s="37" t="str">
        <f aca="false">IF(NOT(ISNUMBER(T36)),"Unknown",IF(T36&lt;=256,"≤ 256 GB",IF(T36&lt;=512,"512 GB","1 TB +")))</f>
        <v>512 GB</v>
      </c>
      <c r="V36" s="45" t="n">
        <f aca="false">IFERROR(VALUE(SUBSTITUTE(LEFT(Raw!L36,FIND(" ",Raw!L36)-1),".",MID(1/2,2,1))),"")</f>
        <v>14</v>
      </c>
      <c r="W36" s="41" t="n">
        <f aca="false">IFERROR(VALUE(SUBSTITUTE(LEFT(Raw!N36,FIND(" ",Raw!N36)-1),".",MID(1/2,2,1))),"")</f>
        <v>1.3</v>
      </c>
      <c r="X36" s="37" t="str">
        <f aca="false">IF(Raw!M36="","",TRIM(Raw!M36))</f>
        <v>Intel UHD Graphics</v>
      </c>
      <c r="Y36" s="37" t="str">
        <f aca="false">IF(X36="","Unknown",IF(ISNUMBER(SEARCH("nvidia",X36)),"NVIDIA",IF(ISNUMBER(SEARCH("amd",X36)),"AMD",IF(ISNUMBER(SEARCH("apple",X36)),"Apple",IF(ISNUMBER(SEARCH("intel",X36)),"Intel","Other")))))</f>
        <v>Intel</v>
      </c>
      <c r="Z36" s="37" t="str">
        <f aca="false">IF(X36="","Unknown",IF(ISNUMBER(SEARCH("RTX",X36))+ISNUMBER(SEARCH("GTX",X36))+ISNUMBER(SEARCH("nvidia",X36))+ISNUMBER(SEARCH("Radeon RX",X36))&gt;0,"Dedicated","Integrated"))</f>
        <v>Integrated</v>
      </c>
      <c r="AA36" s="37" t="str">
        <f aca="false">IF(ISNUMBER(SEARCH("RTX",X36)),TRIM(MID(X36,SEARCH("RTX",X36),8)),IF(X36="","Unknown",IF(Z36="Dedicated","Dedicated (model n/a)","Integrated")))</f>
        <v>Integrated</v>
      </c>
      <c r="AB36" s="37" t="str">
        <f aca="false">IF(ISNUMBER(G36),INDEX(Params!$E$5:$E$9,MATCH(G36,Params!$D$5:$D$9,1)),"Unknown")</f>
        <v>&lt; 100 M</v>
      </c>
      <c r="AC36" s="45" t="n">
        <f aca="false">IF(AND(ISNUMBER(G36),ISNUMBER(Q36)),IF(Q36&gt;0,G36/Q36,""),"")</f>
        <v>17.375</v>
      </c>
      <c r="AD36" s="39" t="n">
        <f aca="false">IF(OR(p_excl=0,ISNUMBER(SEARCH("لپ",B36))),1,0)</f>
        <v>1</v>
      </c>
      <c r="AE36" s="39" t="n">
        <f aca="false">IF(AND(AD36=1,OR(fBrand="All",D36=fBrand),OR(fCPU="All",O36=fCPU),OR(fGPU="All",Z36=fGPU),OR(fTier="All",AB36=fTier),OR(fRAM="All",R36=fRAM)),1,0)</f>
        <v>1</v>
      </c>
      <c r="AF36" s="39" t="n">
        <f aca="false">IF(AND(AE36=1,ISNUMBER(G36)),1,0)</f>
        <v>1</v>
      </c>
      <c r="AG36" s="39" t="n">
        <f aca="false">IF(AND(AE36=1,L36&gt;0),1,0)</f>
        <v>1</v>
      </c>
      <c r="AH36" s="40" t="n">
        <f aca="false">IF(AF36=1,G36,"")</f>
        <v>69.5</v>
      </c>
      <c r="AI36" s="39" t="str">
        <f aca="false">IF(COUNTIF($D$2:D36,D36)=1,MAX($AI$1:AI35)+1,"")</f>
        <v/>
      </c>
      <c r="AJ36" s="39" t="str">
        <f aca="false">IF(COUNTIF($P$2:P36,P36)=1,MAX($AJ$1:AJ35)+1,"")</f>
        <v/>
      </c>
      <c r="AK36" s="47" t="n">
        <f aca="false">IF(AG36=1,M36+ROW()/1000000000,"")</f>
        <v>3.98243246843243</v>
      </c>
      <c r="AL36" s="47" t="str">
        <f aca="false">IF(AND(AE36=1,I36&gt;0),I36+ROW()/1000000000,"")</f>
        <v/>
      </c>
      <c r="AM36" s="39" t="n">
        <f aca="false">IF(AND(AF36=1,ISNUMBER(W36),Z36="Dedicated"),1,0)</f>
        <v>0</v>
      </c>
      <c r="AN36" s="39" t="n">
        <f aca="false">SUM($AM$2:AM36)</f>
        <v>8</v>
      </c>
      <c r="AO36" s="39" t="n">
        <f aca="false">IF(AND(AF36=1,ISNUMBER(W36),Z36&lt;&gt;"Dedicated"),1,0)</f>
        <v>1</v>
      </c>
      <c r="AP36" s="39" t="n">
        <f aca="false">SUM($AO$2:AO36)</f>
        <v>23</v>
      </c>
      <c r="AQ36" s="39" t="n">
        <f aca="false">IF(AND(AF36=1,AG36=1),1,0)</f>
        <v>1</v>
      </c>
      <c r="AR36" s="39" t="n">
        <f aca="false">SUM($AQ$2:AQ36)</f>
        <v>34</v>
      </c>
      <c r="AS36" s="45" t="n">
        <f aca="false">IF(AQ36=1,G36,0)</f>
        <v>69.5</v>
      </c>
      <c r="AT36" s="45" t="n">
        <f aca="false">IF(AQ36=1,K36,0)</f>
        <v>3.8</v>
      </c>
      <c r="AU36" s="37" t="str">
        <f aca="false">TRIM(IF(Raw!N36="","weight missing; ","")&amp;IF(Raw!K36="","storage missing; ","")&amp;IF(ISNUMBER(FIND(" و ",Raw!K36)),"dual storage - SSD part used; ","")&amp;IF(ISNUMBER(SEARCH("TB",Raw!K36)),"storage written as TB; ","")&amp;IF(Raw!I36="","cpu missing; ","")&amp;IF(Raw!M36="","gpu missing; ","")&amp;IF(Raw!J36="","ram missing; ","")&amp;IF(Raw!L36="","screen missing; ",""))</f>
        <v>dual storage - SSD part used;</v>
      </c>
    </row>
    <row r="37" customFormat="false" ht="15" hidden="false" customHeight="false" outlineLevel="0" collapsed="false">
      <c r="A37" s="39" t="n">
        <f aca="false">Raw!A37</f>
        <v>33510</v>
      </c>
      <c r="B37" s="37" t="str">
        <f aca="false">Raw!B37</f>
        <v>لپ تاپ لنوو 15.6 اینچی V15 N4500 8GB 256GB</v>
      </c>
      <c r="C37" s="37" t="str">
        <f aca="false">LOWER(TRIM(Raw!C37))</f>
        <v>lenovo</v>
      </c>
      <c r="D37" s="37" t="str">
        <f aca="false">IFERROR(INDEX(Params!$B$5:$B$13,MATCH(C37,Params!$A$5:$A$13,0)),PROPER(C37))</f>
        <v>Lenovo</v>
      </c>
      <c r="E37" s="37" t="str">
        <f aca="false">IF(Raw!F37,"Available","Out of stock")</f>
        <v>Available</v>
      </c>
      <c r="F37" s="43" t="n">
        <f aca="false">IF(Raw!D37="","",Raw!D37)</f>
        <v>92500000</v>
      </c>
      <c r="G37" s="40" t="n">
        <f aca="false">IF(ISNUMBER(F37),F37/1000000,"")</f>
        <v>92.5</v>
      </c>
      <c r="H37" s="43" t="str">
        <f aca="false">IF(Raw!E37="","",Raw!E37)</f>
        <v/>
      </c>
      <c r="I37" s="42" t="n">
        <f aca="false">IF(AND(ISNUMBER(H37),ISNUMBER(F37)),IF(H37&gt;F37,(H37-F37)/H37,0),0)</f>
        <v>0</v>
      </c>
      <c r="J37" s="39" t="n">
        <f aca="false">IF(I37&gt;0,1,0)</f>
        <v>0</v>
      </c>
      <c r="K37" s="45" t="n">
        <f aca="false">Raw!G37</f>
        <v>3.4</v>
      </c>
      <c r="L37" s="39" t="n">
        <f aca="false">Raw!H37</f>
        <v>27</v>
      </c>
      <c r="M37" s="41" t="n">
        <f aca="false">IF(L37&gt;0,(L37*K37+p_m*p_c)/(L37+p_m),"")</f>
        <v>3.69054054054054</v>
      </c>
      <c r="N37" s="37" t="str">
        <f aca="false">IF(Raw!I37="","",TRIM(Raw!I37))</f>
        <v>Celeron N4500</v>
      </c>
      <c r="O37" s="37" t="str">
        <f aca="false">IF(N37="","Unknown",IF(LEFT(N37,5)="Apple","Apple",IF(LEFT(N37,5)="Ryzen","AMD","Intel")))</f>
        <v>Intel</v>
      </c>
      <c r="P37" s="37" t="str">
        <f aca="false">IF(N37="","Unknown",IF(LEFT(N37,5)="Apple","Apple Silicon",IF(LEFT(N37,8)="Ryzen AI","Ryzen AI",TRIM(LEFT(N37,7)))))</f>
        <v>Celeron</v>
      </c>
      <c r="Q37" s="39" t="n">
        <f aca="false">IFERROR(VALUE(LEFT(Raw!J37,FIND(" ",Raw!J37)-1)),"")</f>
        <v>8</v>
      </c>
      <c r="R37" s="37" t="str">
        <f aca="false">IF(NOT(ISNUMBER(Q37)),"Unknown",IF(Q37&lt;=8,"≤ 8 GB",IF(Q37&lt;=16,"12–16 GB","20 GB +")))</f>
        <v>≤ 8 GB</v>
      </c>
      <c r="S37" s="37" t="str">
        <f aca="false">IF(Raw!K37="","",IF(ISNUMBER(FIND(" و ",Raw!K37)),TRIM(MID(Raw!K37,FIND(" و ",Raw!K37)+3,100)),TRIM(Raw!K37)))</f>
        <v>256 گیگابایت</v>
      </c>
      <c r="T37" s="43" t="n">
        <f aca="false">IF(S37="","",IFERROR(IFERROR(VALUE(LEFT(S37,FIND(" ",S37)-1)),VALUE(LEFT(S37,LEN(S37)-2)))*IF(OR(ISNUMBER(SEARCH("ترابایت",S37)),ISNUMBER(SEARCH("TB",S37))),1024,1),""))</f>
        <v>256</v>
      </c>
      <c r="U37" s="37" t="str">
        <f aca="false">IF(NOT(ISNUMBER(T37)),"Unknown",IF(T37&lt;=256,"≤ 256 GB",IF(T37&lt;=512,"512 GB","1 TB +")))</f>
        <v>≤ 256 GB</v>
      </c>
      <c r="V37" s="45" t="n">
        <f aca="false">IFERROR(VALUE(SUBSTITUTE(LEFT(Raw!L37,FIND(" ",Raw!L37)-1),".",MID(1/2,2,1))),"")</f>
        <v>15.6</v>
      </c>
      <c r="W37" s="41" t="n">
        <f aca="false">IFERROR(VALUE(SUBSTITUTE(LEFT(Raw!N37,FIND(" ",Raw!N37)-1),".",MID(1/2,2,1))),"")</f>
        <v>1.7</v>
      </c>
      <c r="X37" s="37" t="str">
        <f aca="false">IF(Raw!M37="","",TRIM(Raw!M37))</f>
        <v>Intel UHD Graphics</v>
      </c>
      <c r="Y37" s="37" t="str">
        <f aca="false">IF(X37="","Unknown",IF(ISNUMBER(SEARCH("nvidia",X37)),"NVIDIA",IF(ISNUMBER(SEARCH("amd",X37)),"AMD",IF(ISNUMBER(SEARCH("apple",X37)),"Apple",IF(ISNUMBER(SEARCH("intel",X37)),"Intel","Other")))))</f>
        <v>Intel</v>
      </c>
      <c r="Z37" s="37" t="str">
        <f aca="false">IF(X37="","Unknown",IF(ISNUMBER(SEARCH("RTX",X37))+ISNUMBER(SEARCH("GTX",X37))+ISNUMBER(SEARCH("nvidia",X37))+ISNUMBER(SEARCH("Radeon RX",X37))&gt;0,"Dedicated","Integrated"))</f>
        <v>Integrated</v>
      </c>
      <c r="AA37" s="37" t="str">
        <f aca="false">IF(ISNUMBER(SEARCH("RTX",X37)),TRIM(MID(X37,SEARCH("RTX",X37),8)),IF(X37="","Unknown",IF(Z37="Dedicated","Dedicated (model n/a)","Integrated")))</f>
        <v>Integrated</v>
      </c>
      <c r="AB37" s="37" t="str">
        <f aca="false">IF(ISNUMBER(G37),INDEX(Params!$E$5:$E$9,MATCH(G37,Params!$D$5:$D$9,1)),"Unknown")</f>
        <v>&lt; 100 M</v>
      </c>
      <c r="AC37" s="45" t="n">
        <f aca="false">IF(AND(ISNUMBER(G37),ISNUMBER(Q37)),IF(Q37&gt;0,G37/Q37,""),"")</f>
        <v>11.5625</v>
      </c>
      <c r="AD37" s="39" t="n">
        <f aca="false">IF(OR(p_excl=0,ISNUMBER(SEARCH("لپ",B37))),1,0)</f>
        <v>1</v>
      </c>
      <c r="AE37" s="39" t="n">
        <f aca="false">IF(AND(AD37=1,OR(fBrand="All",D37=fBrand),OR(fCPU="All",O37=fCPU),OR(fGPU="All",Z37=fGPU),OR(fTier="All",AB37=fTier),OR(fRAM="All",R37=fRAM)),1,0)</f>
        <v>1</v>
      </c>
      <c r="AF37" s="39" t="n">
        <f aca="false">IF(AND(AE37=1,ISNUMBER(G37)),1,0)</f>
        <v>1</v>
      </c>
      <c r="AG37" s="39" t="n">
        <f aca="false">IF(AND(AE37=1,L37&gt;0),1,0)</f>
        <v>1</v>
      </c>
      <c r="AH37" s="40" t="n">
        <f aca="false">IF(AF37=1,G37,"")</f>
        <v>92.5</v>
      </c>
      <c r="AI37" s="39" t="str">
        <f aca="false">IF(COUNTIF($D$2:D37,D37)=1,MAX($AI$1:AI36)+1,"")</f>
        <v/>
      </c>
      <c r="AJ37" s="39" t="str">
        <f aca="false">IF(COUNTIF($P$2:P37,P37)=1,MAX($AJ$1:AJ36)+1,"")</f>
        <v/>
      </c>
      <c r="AK37" s="47" t="n">
        <f aca="false">IF(AG37=1,M37+ROW()/1000000000,"")</f>
        <v>3.69054057754054</v>
      </c>
      <c r="AL37" s="47" t="str">
        <f aca="false">IF(AND(AE37=1,I37&gt;0),I37+ROW()/1000000000,"")</f>
        <v/>
      </c>
      <c r="AM37" s="39" t="n">
        <f aca="false">IF(AND(AF37=1,ISNUMBER(W37),Z37="Dedicated"),1,0)</f>
        <v>0</v>
      </c>
      <c r="AN37" s="39" t="n">
        <f aca="false">SUM($AM$2:AM37)</f>
        <v>8</v>
      </c>
      <c r="AO37" s="39" t="n">
        <f aca="false">IF(AND(AF37=1,ISNUMBER(W37),Z37&lt;&gt;"Dedicated"),1,0)</f>
        <v>1</v>
      </c>
      <c r="AP37" s="39" t="n">
        <f aca="false">SUM($AO$2:AO37)</f>
        <v>24</v>
      </c>
      <c r="AQ37" s="39" t="n">
        <f aca="false">IF(AND(AF37=1,AG37=1),1,0)</f>
        <v>1</v>
      </c>
      <c r="AR37" s="39" t="n">
        <f aca="false">SUM($AQ$2:AQ37)</f>
        <v>35</v>
      </c>
      <c r="AS37" s="45" t="n">
        <f aca="false">IF(AQ37=1,G37,0)</f>
        <v>92.5</v>
      </c>
      <c r="AT37" s="45" t="n">
        <f aca="false">IF(AQ37=1,K37,0)</f>
        <v>3.4</v>
      </c>
      <c r="AU37" s="37" t="str">
        <f aca="false">TRIM(IF(Raw!N37="","weight missing; ","")&amp;IF(Raw!K37="","storage missing; ","")&amp;IF(ISNUMBER(FIND(" و ",Raw!K37)),"dual storage - SSD part used; ","")&amp;IF(ISNUMBER(SEARCH("TB",Raw!K37)),"storage written as TB; ","")&amp;IF(Raw!I37="","cpu missing; ","")&amp;IF(Raw!M37="","gpu missing; ","")&amp;IF(Raw!J37="","ram missing; ","")&amp;IF(Raw!L37="","screen missing; ",""))</f>
        <v/>
      </c>
    </row>
    <row r="38" customFormat="false" ht="15" hidden="false" customHeight="false" outlineLevel="0" collapsed="false">
      <c r="A38" s="39" t="n">
        <f aca="false">Raw!A38</f>
        <v>32624</v>
      </c>
      <c r="B38" s="37" t="str">
        <f aca="false">Raw!B38</f>
        <v>لپ تاپ ایسوس 15.6 اینچی مدل Vivobook 15 X1504VA i7 1355U 24GB 1TB</v>
      </c>
      <c r="C38" s="37" t="str">
        <f aca="false">LOWER(TRIM(Raw!C38))</f>
        <v>asus</v>
      </c>
      <c r="D38" s="37" t="str">
        <f aca="false">IFERROR(INDEX(Params!$B$5:$B$13,MATCH(C38,Params!$A$5:$A$13,0)),PROPER(C38))</f>
        <v>ASUS</v>
      </c>
      <c r="E38" s="37" t="str">
        <f aca="false">IF(Raw!F38,"Available","Out of stock")</f>
        <v>Available</v>
      </c>
      <c r="F38" s="43" t="n">
        <f aca="false">IF(Raw!D38="","",Raw!D38)</f>
        <v>228500000</v>
      </c>
      <c r="G38" s="40" t="n">
        <f aca="false">IF(ISNUMBER(F38),F38/1000000,"")</f>
        <v>228.5</v>
      </c>
      <c r="H38" s="43" t="str">
        <f aca="false">IF(Raw!E38="","",Raw!E38)</f>
        <v/>
      </c>
      <c r="I38" s="42" t="n">
        <f aca="false">IF(AND(ISNUMBER(H38),ISNUMBER(F38)),IF(H38&gt;F38,(H38-F38)/H38,0),0)</f>
        <v>0</v>
      </c>
      <c r="J38" s="39" t="n">
        <f aca="false">IF(I38&gt;0,1,0)</f>
        <v>0</v>
      </c>
      <c r="K38" s="45" t="n">
        <f aca="false">Raw!G38</f>
        <v>4.3</v>
      </c>
      <c r="L38" s="39" t="n">
        <f aca="false">Raw!H38</f>
        <v>71</v>
      </c>
      <c r="M38" s="41" t="n">
        <f aca="false">IF(L38&gt;0,(L38*K38+p_m*p_c)/(L38+p_m),"")</f>
        <v>4.32160493827161</v>
      </c>
      <c r="N38" s="37" t="str">
        <f aca="false">IF(Raw!I38="","",TRIM(Raw!I38))</f>
        <v>Core i7 1355U</v>
      </c>
      <c r="O38" s="37" t="str">
        <f aca="false">IF(N38="","Unknown",IF(LEFT(N38,5)="Apple","Apple",IF(LEFT(N38,5)="Ryzen","AMD","Intel")))</f>
        <v>Intel</v>
      </c>
      <c r="P38" s="37" t="str">
        <f aca="false">IF(N38="","Unknown",IF(LEFT(N38,5)="Apple","Apple Silicon",IF(LEFT(N38,8)="Ryzen AI","Ryzen AI",TRIM(LEFT(N38,7)))))</f>
        <v>Core i7</v>
      </c>
      <c r="Q38" s="39" t="n">
        <f aca="false">IFERROR(VALUE(LEFT(Raw!J38,FIND(" ",Raw!J38)-1)),"")</f>
        <v>24</v>
      </c>
      <c r="R38" s="37" t="str">
        <f aca="false">IF(NOT(ISNUMBER(Q38)),"Unknown",IF(Q38&lt;=8,"≤ 8 GB",IF(Q38&lt;=16,"12–16 GB","20 GB +")))</f>
        <v>20 GB +</v>
      </c>
      <c r="S38" s="37" t="str">
        <f aca="false">IF(Raw!K38="","",IF(ISNUMBER(FIND(" و ",Raw!K38)),TRIM(MID(Raw!K38,FIND(" و ",Raw!K38)+3,100)),TRIM(Raw!K38)))</f>
        <v>1 ترابایت</v>
      </c>
      <c r="T38" s="43" t="n">
        <f aca="false">IF(S38="","",IFERROR(IFERROR(VALUE(LEFT(S38,FIND(" ",S38)-1)),VALUE(LEFT(S38,LEN(S38)-2)))*IF(OR(ISNUMBER(SEARCH("ترابایت",S38)),ISNUMBER(SEARCH("TB",S38))),1024,1),""))</f>
        <v>1024</v>
      </c>
      <c r="U38" s="37" t="str">
        <f aca="false">IF(NOT(ISNUMBER(T38)),"Unknown",IF(T38&lt;=256,"≤ 256 GB",IF(T38&lt;=512,"512 GB","1 TB +")))</f>
        <v>1 TB +</v>
      </c>
      <c r="V38" s="45" t="n">
        <f aca="false">IFERROR(VALUE(SUBSTITUTE(LEFT(Raw!L38,FIND(" ",Raw!L38)-1),".",MID(1/2,2,1))),"")</f>
        <v>15.6</v>
      </c>
      <c r="W38" s="41" t="n">
        <f aca="false">IFERROR(VALUE(SUBSTITUTE(LEFT(Raw!N38,FIND(" ",Raw!N38)-1),".",MID(1/2,2,1))),"")</f>
        <v>1.7</v>
      </c>
      <c r="X38" s="37" t="str">
        <f aca="false">IF(Raw!M38="","",TRIM(Raw!M38))</f>
        <v>Intel Intel Iris Xe</v>
      </c>
      <c r="Y38" s="37" t="str">
        <f aca="false">IF(X38="","Unknown",IF(ISNUMBER(SEARCH("nvidia",X38)),"NVIDIA",IF(ISNUMBER(SEARCH("amd",X38)),"AMD",IF(ISNUMBER(SEARCH("apple",X38)),"Apple",IF(ISNUMBER(SEARCH("intel",X38)),"Intel","Other")))))</f>
        <v>Intel</v>
      </c>
      <c r="Z38" s="37" t="str">
        <f aca="false">IF(X38="","Unknown",IF(ISNUMBER(SEARCH("RTX",X38))+ISNUMBER(SEARCH("GTX",X38))+ISNUMBER(SEARCH("nvidia",X38))+ISNUMBER(SEARCH("Radeon RX",X38))&gt;0,"Dedicated","Integrated"))</f>
        <v>Integrated</v>
      </c>
      <c r="AA38" s="37" t="str">
        <f aca="false">IF(ISNUMBER(SEARCH("RTX",X38)),TRIM(MID(X38,SEARCH("RTX",X38),8)),IF(X38="","Unknown",IF(Z38="Dedicated","Dedicated (model n/a)","Integrated")))</f>
        <v>Integrated</v>
      </c>
      <c r="AB38" s="37" t="str">
        <f aca="false">IF(ISNUMBER(G38),INDEX(Params!$E$5:$E$9,MATCH(G38,Params!$D$5:$D$9,1)),"Unknown")</f>
        <v>200–300 M</v>
      </c>
      <c r="AC38" s="45" t="n">
        <f aca="false">IF(AND(ISNUMBER(G38),ISNUMBER(Q38)),IF(Q38&gt;0,G38/Q38,""),"")</f>
        <v>9.52083333333333</v>
      </c>
      <c r="AD38" s="39" t="n">
        <f aca="false">IF(OR(p_excl=0,ISNUMBER(SEARCH("لپ",B38))),1,0)</f>
        <v>1</v>
      </c>
      <c r="AE38" s="39" t="n">
        <f aca="false">IF(AND(AD38=1,OR(fBrand="All",D38=fBrand),OR(fCPU="All",O38=fCPU),OR(fGPU="All",Z38=fGPU),OR(fTier="All",AB38=fTier),OR(fRAM="All",R38=fRAM)),1,0)</f>
        <v>1</v>
      </c>
      <c r="AF38" s="39" t="n">
        <f aca="false">IF(AND(AE38=1,ISNUMBER(G38)),1,0)</f>
        <v>1</v>
      </c>
      <c r="AG38" s="39" t="n">
        <f aca="false">IF(AND(AE38=1,L38&gt;0),1,0)</f>
        <v>1</v>
      </c>
      <c r="AH38" s="40" t="n">
        <f aca="false">IF(AF38=1,G38,"")</f>
        <v>228.5</v>
      </c>
      <c r="AI38" s="39" t="str">
        <f aca="false">IF(COUNTIF($D$2:D38,D38)=1,MAX($AI$1:AI37)+1,"")</f>
        <v/>
      </c>
      <c r="AJ38" s="39" t="str">
        <f aca="false">IF(COUNTIF($P$2:P38,P38)=1,MAX($AJ$1:AJ37)+1,"")</f>
        <v/>
      </c>
      <c r="AK38" s="47" t="n">
        <f aca="false">IF(AG38=1,M38+ROW()/1000000000,"")</f>
        <v>4.32160497627161</v>
      </c>
      <c r="AL38" s="47" t="str">
        <f aca="false">IF(AND(AE38=1,I38&gt;0),I38+ROW()/1000000000,"")</f>
        <v/>
      </c>
      <c r="AM38" s="39" t="n">
        <f aca="false">IF(AND(AF38=1,ISNUMBER(W38),Z38="Dedicated"),1,0)</f>
        <v>0</v>
      </c>
      <c r="AN38" s="39" t="n">
        <f aca="false">SUM($AM$2:AM38)</f>
        <v>8</v>
      </c>
      <c r="AO38" s="39" t="n">
        <f aca="false">IF(AND(AF38=1,ISNUMBER(W38),Z38&lt;&gt;"Dedicated"),1,0)</f>
        <v>1</v>
      </c>
      <c r="AP38" s="39" t="n">
        <f aca="false">SUM($AO$2:AO38)</f>
        <v>25</v>
      </c>
      <c r="AQ38" s="39" t="n">
        <f aca="false">IF(AND(AF38=1,AG38=1),1,0)</f>
        <v>1</v>
      </c>
      <c r="AR38" s="39" t="n">
        <f aca="false">SUM($AQ$2:AQ38)</f>
        <v>36</v>
      </c>
      <c r="AS38" s="45" t="n">
        <f aca="false">IF(AQ38=1,G38,0)</f>
        <v>228.5</v>
      </c>
      <c r="AT38" s="45" t="n">
        <f aca="false">IF(AQ38=1,K38,0)</f>
        <v>4.3</v>
      </c>
      <c r="AU38" s="37" t="str">
        <f aca="false">TRIM(IF(Raw!N38="","weight missing; ","")&amp;IF(Raw!K38="","storage missing; ","")&amp;IF(ISNUMBER(FIND(" و ",Raw!K38)),"dual storage - SSD part used; ","")&amp;IF(ISNUMBER(SEARCH("TB",Raw!K38)),"storage written as TB; ","")&amp;IF(Raw!I38="","cpu missing; ","")&amp;IF(Raw!M38="","gpu missing; ","")&amp;IF(Raw!J38="","ram missing; ","")&amp;IF(Raw!L38="","screen missing; ",""))</f>
        <v/>
      </c>
    </row>
    <row r="39" customFormat="false" ht="15" hidden="false" customHeight="false" outlineLevel="0" collapsed="false">
      <c r="A39" s="39" t="n">
        <f aca="false">Raw!A39</f>
        <v>302953</v>
      </c>
      <c r="B39" s="37" t="str">
        <f aca="false">Raw!B39</f>
        <v>لپ تاپ ایسر 15.6 اینچی مدل Aspire Lite AL15 i5 13500H 8GB 512GB</v>
      </c>
      <c r="C39" s="37" t="str">
        <f aca="false">LOWER(TRIM(Raw!C39))</f>
        <v>acer</v>
      </c>
      <c r="D39" s="37" t="str">
        <f aca="false">IFERROR(INDEX(Params!$B$5:$B$13,MATCH(C39,Params!$A$5:$A$13,0)),PROPER(C39))</f>
        <v>Acer</v>
      </c>
      <c r="E39" s="37" t="str">
        <f aca="false">IF(Raw!F39,"Available","Out of stock")</f>
        <v>Available</v>
      </c>
      <c r="F39" s="43" t="n">
        <f aca="false">IF(Raw!D39="","",Raw!D39)</f>
        <v>156200000</v>
      </c>
      <c r="G39" s="40" t="n">
        <f aca="false">IF(ISNUMBER(F39),F39/1000000,"")</f>
        <v>156.2</v>
      </c>
      <c r="H39" s="43" t="str">
        <f aca="false">IF(Raw!E39="","",Raw!E39)</f>
        <v/>
      </c>
      <c r="I39" s="42" t="n">
        <f aca="false">IF(AND(ISNUMBER(H39),ISNUMBER(F39)),IF(H39&gt;F39,(H39-F39)/H39,0),0)</f>
        <v>0</v>
      </c>
      <c r="J39" s="39" t="n">
        <f aca="false">IF(I39&gt;0,1,0)</f>
        <v>0</v>
      </c>
      <c r="K39" s="45" t="n">
        <f aca="false">Raw!G39</f>
        <v>5</v>
      </c>
      <c r="L39" s="39" t="n">
        <f aca="false">Raw!H39</f>
        <v>1</v>
      </c>
      <c r="M39" s="41" t="n">
        <f aca="false">IF(L39&gt;0,(L39*K39+p_m*p_c)/(L39+p_m),"")</f>
        <v>4.52272727272727</v>
      </c>
      <c r="N39" s="37" t="str">
        <f aca="false">IF(Raw!I39="","",TRIM(Raw!I39))</f>
        <v>Core i5 13500H</v>
      </c>
      <c r="O39" s="37" t="str">
        <f aca="false">IF(N39="","Unknown",IF(LEFT(N39,5)="Apple","Apple",IF(LEFT(N39,5)="Ryzen","AMD","Intel")))</f>
        <v>Intel</v>
      </c>
      <c r="P39" s="37" t="str">
        <f aca="false">IF(N39="","Unknown",IF(LEFT(N39,5)="Apple","Apple Silicon",IF(LEFT(N39,8)="Ryzen AI","Ryzen AI",TRIM(LEFT(N39,7)))))</f>
        <v>Core i5</v>
      </c>
      <c r="Q39" s="39" t="n">
        <f aca="false">IFERROR(VALUE(LEFT(Raw!J39,FIND(" ",Raw!J39)-1)),"")</f>
        <v>8</v>
      </c>
      <c r="R39" s="37" t="str">
        <f aca="false">IF(NOT(ISNUMBER(Q39)),"Unknown",IF(Q39&lt;=8,"≤ 8 GB",IF(Q39&lt;=16,"12–16 GB","20 GB +")))</f>
        <v>≤ 8 GB</v>
      </c>
      <c r="S39" s="37" t="str">
        <f aca="false">IF(Raw!K39="","",IF(ISNUMBER(FIND(" و ",Raw!K39)),TRIM(MID(Raw!K39,FIND(" و ",Raw!K39)+3,100)),TRIM(Raw!K39)))</f>
        <v>512 گیگابایت</v>
      </c>
      <c r="T39" s="43" t="n">
        <f aca="false">IF(S39="","",IFERROR(IFERROR(VALUE(LEFT(S39,FIND(" ",S39)-1)),VALUE(LEFT(S39,LEN(S39)-2)))*IF(OR(ISNUMBER(SEARCH("ترابایت",S39)),ISNUMBER(SEARCH("TB",S39))),1024,1),""))</f>
        <v>512</v>
      </c>
      <c r="U39" s="37" t="str">
        <f aca="false">IF(NOT(ISNUMBER(T39)),"Unknown",IF(T39&lt;=256,"≤ 256 GB",IF(T39&lt;=512,"512 GB","1 TB +")))</f>
        <v>512 GB</v>
      </c>
      <c r="V39" s="45" t="n">
        <f aca="false">IFERROR(VALUE(SUBSTITUTE(LEFT(Raw!L39,FIND(" ",Raw!L39)-1),".",MID(1/2,2,1))),"")</f>
        <v>15.6</v>
      </c>
      <c r="W39" s="41" t="n">
        <f aca="false">IFERROR(VALUE(SUBSTITUTE(LEFT(Raw!N39,FIND(" ",Raw!N39)-1),".",MID(1/2,2,1))),"")</f>
        <v>1.7</v>
      </c>
      <c r="X39" s="37" t="str">
        <f aca="false">IF(Raw!M39="","",TRIM(Raw!M39))</f>
        <v>INTEL UHD Graphics</v>
      </c>
      <c r="Y39" s="37" t="str">
        <f aca="false">IF(X39="","Unknown",IF(ISNUMBER(SEARCH("nvidia",X39)),"NVIDIA",IF(ISNUMBER(SEARCH("amd",X39)),"AMD",IF(ISNUMBER(SEARCH("apple",X39)),"Apple",IF(ISNUMBER(SEARCH("intel",X39)),"Intel","Other")))))</f>
        <v>Intel</v>
      </c>
      <c r="Z39" s="37" t="str">
        <f aca="false">IF(X39="","Unknown",IF(ISNUMBER(SEARCH("RTX",X39))+ISNUMBER(SEARCH("GTX",X39))+ISNUMBER(SEARCH("nvidia",X39))+ISNUMBER(SEARCH("Radeon RX",X39))&gt;0,"Dedicated","Integrated"))</f>
        <v>Integrated</v>
      </c>
      <c r="AA39" s="37" t="str">
        <f aca="false">IF(ISNUMBER(SEARCH("RTX",X39)),TRIM(MID(X39,SEARCH("RTX",X39),8)),IF(X39="","Unknown",IF(Z39="Dedicated","Dedicated (model n/a)","Integrated")))</f>
        <v>Integrated</v>
      </c>
      <c r="AB39" s="37" t="str">
        <f aca="false">IF(ISNUMBER(G39),INDEX(Params!$E$5:$E$9,MATCH(G39,Params!$D$5:$D$9,1)),"Unknown")</f>
        <v>100–200 M</v>
      </c>
      <c r="AC39" s="45" t="n">
        <f aca="false">IF(AND(ISNUMBER(G39),ISNUMBER(Q39)),IF(Q39&gt;0,G39/Q39,""),"")</f>
        <v>19.525</v>
      </c>
      <c r="AD39" s="39" t="n">
        <f aca="false">IF(OR(p_excl=0,ISNUMBER(SEARCH("لپ",B39))),1,0)</f>
        <v>1</v>
      </c>
      <c r="AE39" s="39" t="n">
        <f aca="false">IF(AND(AD39=1,OR(fBrand="All",D39=fBrand),OR(fCPU="All",O39=fCPU),OR(fGPU="All",Z39=fGPU),OR(fTier="All",AB39=fTier),OR(fRAM="All",R39=fRAM)),1,0)</f>
        <v>1</v>
      </c>
      <c r="AF39" s="39" t="n">
        <f aca="false">IF(AND(AE39=1,ISNUMBER(G39)),1,0)</f>
        <v>1</v>
      </c>
      <c r="AG39" s="39" t="n">
        <f aca="false">IF(AND(AE39=1,L39&gt;0),1,0)</f>
        <v>1</v>
      </c>
      <c r="AH39" s="40" t="n">
        <f aca="false">IF(AF39=1,G39,"")</f>
        <v>156.2</v>
      </c>
      <c r="AI39" s="39" t="str">
        <f aca="false">IF(COUNTIF($D$2:D39,D39)=1,MAX($AI$1:AI38)+1,"")</f>
        <v/>
      </c>
      <c r="AJ39" s="39" t="str">
        <f aca="false">IF(COUNTIF($P$2:P39,P39)=1,MAX($AJ$1:AJ38)+1,"")</f>
        <v/>
      </c>
      <c r="AK39" s="47" t="n">
        <f aca="false">IF(AG39=1,M39+ROW()/1000000000,"")</f>
        <v>4.52272731172727</v>
      </c>
      <c r="AL39" s="47" t="str">
        <f aca="false">IF(AND(AE39=1,I39&gt;0),I39+ROW()/1000000000,"")</f>
        <v/>
      </c>
      <c r="AM39" s="39" t="n">
        <f aca="false">IF(AND(AF39=1,ISNUMBER(W39),Z39="Dedicated"),1,0)</f>
        <v>0</v>
      </c>
      <c r="AN39" s="39" t="n">
        <f aca="false">SUM($AM$2:AM39)</f>
        <v>8</v>
      </c>
      <c r="AO39" s="39" t="n">
        <f aca="false">IF(AND(AF39=1,ISNUMBER(W39),Z39&lt;&gt;"Dedicated"),1,0)</f>
        <v>1</v>
      </c>
      <c r="AP39" s="39" t="n">
        <f aca="false">SUM($AO$2:AO39)</f>
        <v>26</v>
      </c>
      <c r="AQ39" s="39" t="n">
        <f aca="false">IF(AND(AF39=1,AG39=1),1,0)</f>
        <v>1</v>
      </c>
      <c r="AR39" s="39" t="n">
        <f aca="false">SUM($AQ$2:AQ39)</f>
        <v>37</v>
      </c>
      <c r="AS39" s="45" t="n">
        <f aca="false">IF(AQ39=1,G39,0)</f>
        <v>156.2</v>
      </c>
      <c r="AT39" s="45" t="n">
        <f aca="false">IF(AQ39=1,K39,0)</f>
        <v>5</v>
      </c>
      <c r="AU39" s="37" t="str">
        <f aca="false">TRIM(IF(Raw!N39="","weight missing; ","")&amp;IF(Raw!K39="","storage missing; ","")&amp;IF(ISNUMBER(FIND(" و ",Raw!K39)),"dual storage - SSD part used; ","")&amp;IF(ISNUMBER(SEARCH("TB",Raw!K39)),"storage written as TB; ","")&amp;IF(Raw!I39="","cpu missing; ","")&amp;IF(Raw!M39="","gpu missing; ","")&amp;IF(Raw!J39="","ram missing; ","")&amp;IF(Raw!L39="","screen missing; ",""))</f>
        <v/>
      </c>
    </row>
    <row r="40" customFormat="false" ht="15" hidden="false" customHeight="false" outlineLevel="0" collapsed="false">
      <c r="A40" s="39" t="n">
        <f aca="false">Raw!A40</f>
        <v>239916</v>
      </c>
      <c r="B40" s="37" t="str">
        <f aca="false">Raw!B40</f>
        <v>لپ تاپ اچ پی 15.6 اینچی مدل Victus 15 FA2082WM i5 13420H 32GB 1TB RTX4050</v>
      </c>
      <c r="C40" s="37" t="str">
        <f aca="false">LOWER(TRIM(Raw!C40))</f>
        <v>hp</v>
      </c>
      <c r="D40" s="37" t="str">
        <f aca="false">IFERROR(INDEX(Params!$B$5:$B$13,MATCH(C40,Params!$A$5:$A$13,0)),PROPER(C40))</f>
        <v>HP</v>
      </c>
      <c r="E40" s="37" t="str">
        <f aca="false">IF(Raw!F40,"Available","Out of stock")</f>
        <v>Available</v>
      </c>
      <c r="F40" s="43" t="n">
        <f aca="false">IF(Raw!D40="","",Raw!D40)</f>
        <v>310000000</v>
      </c>
      <c r="G40" s="40" t="n">
        <f aca="false">IF(ISNUMBER(F40),F40/1000000,"")</f>
        <v>310</v>
      </c>
      <c r="H40" s="43" t="str">
        <f aca="false">IF(Raw!E40="","",Raw!E40)</f>
        <v/>
      </c>
      <c r="I40" s="42" t="n">
        <f aca="false">IF(AND(ISNUMBER(H40),ISNUMBER(F40)),IF(H40&gt;F40,(H40-F40)/H40,0),0)</f>
        <v>0</v>
      </c>
      <c r="J40" s="39" t="n">
        <f aca="false">IF(I40&gt;0,1,0)</f>
        <v>0</v>
      </c>
      <c r="K40" s="45" t="n">
        <f aca="false">Raw!G40</f>
        <v>5</v>
      </c>
      <c r="L40" s="39" t="n">
        <f aca="false">Raw!H40</f>
        <v>7</v>
      </c>
      <c r="M40" s="41" t="n">
        <f aca="false">IF(L40&gt;0,(L40*K40+p_m*p_c)/(L40+p_m),"")</f>
        <v>4.69117647058824</v>
      </c>
      <c r="N40" s="37" t="str">
        <f aca="false">IF(Raw!I40="","",TRIM(Raw!I40))</f>
        <v>Core i5 13420H</v>
      </c>
      <c r="O40" s="37" t="str">
        <f aca="false">IF(N40="","Unknown",IF(LEFT(N40,5)="Apple","Apple",IF(LEFT(N40,5)="Ryzen","AMD","Intel")))</f>
        <v>Intel</v>
      </c>
      <c r="P40" s="37" t="str">
        <f aca="false">IF(N40="","Unknown",IF(LEFT(N40,5)="Apple","Apple Silicon",IF(LEFT(N40,8)="Ryzen AI","Ryzen AI",TRIM(LEFT(N40,7)))))</f>
        <v>Core i5</v>
      </c>
      <c r="Q40" s="39" t="n">
        <f aca="false">IFERROR(VALUE(LEFT(Raw!J40,FIND(" ",Raw!J40)-1)),"")</f>
        <v>32</v>
      </c>
      <c r="R40" s="37" t="str">
        <f aca="false">IF(NOT(ISNUMBER(Q40)),"Unknown",IF(Q40&lt;=8,"≤ 8 GB",IF(Q40&lt;=16,"12–16 GB","20 GB +")))</f>
        <v>20 GB +</v>
      </c>
      <c r="S40" s="37" t="str">
        <f aca="false">IF(Raw!K40="","",IF(ISNUMBER(FIND(" و ",Raw!K40)),TRIM(MID(Raw!K40,FIND(" و ",Raw!K40)+3,100)),TRIM(Raw!K40)))</f>
        <v>1TB</v>
      </c>
      <c r="T40" s="43" t="n">
        <f aca="false">IF(S40="","",IFERROR(IFERROR(VALUE(LEFT(S40,FIND(" ",S40)-1)),VALUE(LEFT(S40,LEN(S40)-2)))*IF(OR(ISNUMBER(SEARCH("ترابایت",S40)),ISNUMBER(SEARCH("TB",S40))),1024,1),""))</f>
        <v>1024</v>
      </c>
      <c r="U40" s="37" t="str">
        <f aca="false">IF(NOT(ISNUMBER(T40)),"Unknown",IF(T40&lt;=256,"≤ 256 GB",IF(T40&lt;=512,"512 GB","1 TB +")))</f>
        <v>1 TB +</v>
      </c>
      <c r="V40" s="45" t="n">
        <f aca="false">IFERROR(VALUE(SUBSTITUTE(LEFT(Raw!L40,FIND(" ",Raw!L40)-1),".",MID(1/2,2,1))),"")</f>
        <v>15.6</v>
      </c>
      <c r="W40" s="41" t="n">
        <f aca="false">IFERROR(VALUE(SUBSTITUTE(LEFT(Raw!N40,FIND(" ",Raw!N40)-1),".",MID(1/2,2,1))),"")</f>
        <v>2.29</v>
      </c>
      <c r="X40" s="37" t="str">
        <f aca="false">IF(Raw!M40="","",TRIM(Raw!M40))</f>
        <v>NVIDIA GeForce RTX 4050</v>
      </c>
      <c r="Y40" s="37" t="str">
        <f aca="false">IF(X40="","Unknown",IF(ISNUMBER(SEARCH("nvidia",X40)),"NVIDIA",IF(ISNUMBER(SEARCH("amd",X40)),"AMD",IF(ISNUMBER(SEARCH("apple",X40)),"Apple",IF(ISNUMBER(SEARCH("intel",X40)),"Intel","Other")))))</f>
        <v>NVIDIA</v>
      </c>
      <c r="Z40" s="37" t="str">
        <f aca="false">IF(X40="","Unknown",IF(ISNUMBER(SEARCH("RTX",X40))+ISNUMBER(SEARCH("GTX",X40))+ISNUMBER(SEARCH("nvidia",X40))+ISNUMBER(SEARCH("Radeon RX",X40))&gt;0,"Dedicated","Integrated"))</f>
        <v>Dedicated</v>
      </c>
      <c r="AA40" s="37" t="str">
        <f aca="false">IF(ISNUMBER(SEARCH("RTX",X40)),TRIM(MID(X40,SEARCH("RTX",X40),8)),IF(X40="","Unknown",IF(Z40="Dedicated","Dedicated (model n/a)","Integrated")))</f>
        <v>RTX 4050</v>
      </c>
      <c r="AB40" s="37" t="str">
        <f aca="false">IF(ISNUMBER(G40),INDEX(Params!$E$5:$E$9,MATCH(G40,Params!$D$5:$D$9,1)),"Unknown")</f>
        <v>300–400 M</v>
      </c>
      <c r="AC40" s="45" t="n">
        <f aca="false">IF(AND(ISNUMBER(G40),ISNUMBER(Q40)),IF(Q40&gt;0,G40/Q40,""),"")</f>
        <v>9.6875</v>
      </c>
      <c r="AD40" s="39" t="n">
        <f aca="false">IF(OR(p_excl=0,ISNUMBER(SEARCH("لپ",B40))),1,0)</f>
        <v>1</v>
      </c>
      <c r="AE40" s="39" t="n">
        <f aca="false">IF(AND(AD40=1,OR(fBrand="All",D40=fBrand),OR(fCPU="All",O40=fCPU),OR(fGPU="All",Z40=fGPU),OR(fTier="All",AB40=fTier),OR(fRAM="All",R40=fRAM)),1,0)</f>
        <v>1</v>
      </c>
      <c r="AF40" s="39" t="n">
        <f aca="false">IF(AND(AE40=1,ISNUMBER(G40)),1,0)</f>
        <v>1</v>
      </c>
      <c r="AG40" s="39" t="n">
        <f aca="false">IF(AND(AE40=1,L40&gt;0),1,0)</f>
        <v>1</v>
      </c>
      <c r="AH40" s="40" t="n">
        <f aca="false">IF(AF40=1,G40,"")</f>
        <v>310</v>
      </c>
      <c r="AI40" s="39" t="str">
        <f aca="false">IF(COUNTIF($D$2:D40,D40)=1,MAX($AI$1:AI39)+1,"")</f>
        <v/>
      </c>
      <c r="AJ40" s="39" t="str">
        <f aca="false">IF(COUNTIF($P$2:P40,P40)=1,MAX($AJ$1:AJ39)+1,"")</f>
        <v/>
      </c>
      <c r="AK40" s="47" t="n">
        <f aca="false">IF(AG40=1,M40+ROW()/1000000000,"")</f>
        <v>4.69117651058824</v>
      </c>
      <c r="AL40" s="47" t="str">
        <f aca="false">IF(AND(AE40=1,I40&gt;0),I40+ROW()/1000000000,"")</f>
        <v/>
      </c>
      <c r="AM40" s="39" t="n">
        <f aca="false">IF(AND(AF40=1,ISNUMBER(W40),Z40="Dedicated"),1,0)</f>
        <v>1</v>
      </c>
      <c r="AN40" s="39" t="n">
        <f aca="false">SUM($AM$2:AM40)</f>
        <v>9</v>
      </c>
      <c r="AO40" s="39" t="n">
        <f aca="false">IF(AND(AF40=1,ISNUMBER(W40),Z40&lt;&gt;"Dedicated"),1,0)</f>
        <v>0</v>
      </c>
      <c r="AP40" s="39" t="n">
        <f aca="false">SUM($AO$2:AO40)</f>
        <v>26</v>
      </c>
      <c r="AQ40" s="39" t="n">
        <f aca="false">IF(AND(AF40=1,AG40=1),1,0)</f>
        <v>1</v>
      </c>
      <c r="AR40" s="39" t="n">
        <f aca="false">SUM($AQ$2:AQ40)</f>
        <v>38</v>
      </c>
      <c r="AS40" s="45" t="n">
        <f aca="false">IF(AQ40=1,G40,0)</f>
        <v>310</v>
      </c>
      <c r="AT40" s="45" t="n">
        <f aca="false">IF(AQ40=1,K40,0)</f>
        <v>5</v>
      </c>
      <c r="AU40" s="37" t="str">
        <f aca="false">TRIM(IF(Raw!N40="","weight missing; ","")&amp;IF(Raw!K40="","storage missing; ","")&amp;IF(ISNUMBER(FIND(" و ",Raw!K40)),"dual storage - SSD part used; ","")&amp;IF(ISNUMBER(SEARCH("TB",Raw!K40)),"storage written as TB; ","")&amp;IF(Raw!I40="","cpu missing; ","")&amp;IF(Raw!M40="","gpu missing; ","")&amp;IF(Raw!J40="","ram missing; ","")&amp;IF(Raw!L40="","screen missing; ",""))</f>
        <v>storage written as TB;</v>
      </c>
    </row>
    <row r="41" customFormat="false" ht="15" hidden="false" customHeight="false" outlineLevel="0" collapsed="false">
      <c r="A41" s="39" t="n">
        <f aca="false">Raw!A41</f>
        <v>168498</v>
      </c>
      <c r="B41" s="37" t="str">
        <f aca="false">Raw!B41</f>
        <v>لپ تاپ ایسوس 15.6 اینچی مدل Vivobook 15 X1504VA i3 1315U 16GB 512GB</v>
      </c>
      <c r="C41" s="37" t="str">
        <f aca="false">LOWER(TRIM(Raw!C41))</f>
        <v>asus</v>
      </c>
      <c r="D41" s="37" t="str">
        <f aca="false">IFERROR(INDEX(Params!$B$5:$B$13,MATCH(C41,Params!$A$5:$A$13,0)),PROPER(C41))</f>
        <v>ASUS</v>
      </c>
      <c r="E41" s="37" t="str">
        <f aca="false">IF(Raw!F41,"Available","Out of stock")</f>
        <v>Available</v>
      </c>
      <c r="F41" s="43" t="n">
        <f aca="false">IF(Raw!D41="","",Raw!D41)</f>
        <v>159500000</v>
      </c>
      <c r="G41" s="40" t="n">
        <f aca="false">IF(ISNUMBER(F41),F41/1000000,"")</f>
        <v>159.5</v>
      </c>
      <c r="H41" s="43" t="str">
        <f aca="false">IF(Raw!E41="","",Raw!E41)</f>
        <v/>
      </c>
      <c r="I41" s="42" t="n">
        <f aca="false">IF(AND(ISNUMBER(H41),ISNUMBER(F41)),IF(H41&gt;F41,(H41-F41)/H41,0),0)</f>
        <v>0</v>
      </c>
      <c r="J41" s="39" t="n">
        <f aca="false">IF(I41&gt;0,1,0)</f>
        <v>0</v>
      </c>
      <c r="K41" s="45" t="n">
        <f aca="false">Raw!G41</f>
        <v>3</v>
      </c>
      <c r="L41" s="39" t="n">
        <f aca="false">Raw!H41</f>
        <v>1</v>
      </c>
      <c r="M41" s="41" t="n">
        <f aca="false">IF(L41&gt;0,(L41*K41+p_m*p_c)/(L41+p_m),"")</f>
        <v>4.34090909090909</v>
      </c>
      <c r="N41" s="37" t="str">
        <f aca="false">IF(Raw!I41="","",TRIM(Raw!I41))</f>
        <v>Core i3 1315U</v>
      </c>
      <c r="O41" s="37" t="str">
        <f aca="false">IF(N41="","Unknown",IF(LEFT(N41,5)="Apple","Apple",IF(LEFT(N41,5)="Ryzen","AMD","Intel")))</f>
        <v>Intel</v>
      </c>
      <c r="P41" s="37" t="str">
        <f aca="false">IF(N41="","Unknown",IF(LEFT(N41,5)="Apple","Apple Silicon",IF(LEFT(N41,8)="Ryzen AI","Ryzen AI",TRIM(LEFT(N41,7)))))</f>
        <v>Core i3</v>
      </c>
      <c r="Q41" s="39" t="n">
        <f aca="false">IFERROR(VALUE(LEFT(Raw!J41,FIND(" ",Raw!J41)-1)),"")</f>
        <v>16</v>
      </c>
      <c r="R41" s="37" t="str">
        <f aca="false">IF(NOT(ISNUMBER(Q41)),"Unknown",IF(Q41&lt;=8,"≤ 8 GB",IF(Q41&lt;=16,"12–16 GB","20 GB +")))</f>
        <v>12–16 GB</v>
      </c>
      <c r="S41" s="37" t="str">
        <f aca="false">IF(Raw!K41="","",IF(ISNUMBER(FIND(" و ",Raw!K41)),TRIM(MID(Raw!K41,FIND(" و ",Raw!K41)+3,100)),TRIM(Raw!K41)))</f>
        <v>512 گیگابایت</v>
      </c>
      <c r="T41" s="43" t="n">
        <f aca="false">IF(S41="","",IFERROR(IFERROR(VALUE(LEFT(S41,FIND(" ",S41)-1)),VALUE(LEFT(S41,LEN(S41)-2)))*IF(OR(ISNUMBER(SEARCH("ترابایت",S41)),ISNUMBER(SEARCH("TB",S41))),1024,1),""))</f>
        <v>512</v>
      </c>
      <c r="U41" s="37" t="str">
        <f aca="false">IF(NOT(ISNUMBER(T41)),"Unknown",IF(T41&lt;=256,"≤ 256 GB",IF(T41&lt;=512,"512 GB","1 TB +")))</f>
        <v>512 GB</v>
      </c>
      <c r="V41" s="45" t="n">
        <f aca="false">IFERROR(VALUE(SUBSTITUTE(LEFT(Raw!L41,FIND(" ",Raw!L41)-1),".",MID(1/2,2,1))),"")</f>
        <v>15.6</v>
      </c>
      <c r="W41" s="41" t="n">
        <f aca="false">IFERROR(VALUE(SUBSTITUTE(LEFT(Raw!N41,FIND(" ",Raw!N41)-1),".",MID(1/2,2,1))),"")</f>
        <v>1.7</v>
      </c>
      <c r="X41" s="37" t="str">
        <f aca="false">IF(Raw!M41="","",TRIM(Raw!M41))</f>
        <v>Intel UHD Graphics</v>
      </c>
      <c r="Y41" s="37" t="str">
        <f aca="false">IF(X41="","Unknown",IF(ISNUMBER(SEARCH("nvidia",X41)),"NVIDIA",IF(ISNUMBER(SEARCH("amd",X41)),"AMD",IF(ISNUMBER(SEARCH("apple",X41)),"Apple",IF(ISNUMBER(SEARCH("intel",X41)),"Intel","Other")))))</f>
        <v>Intel</v>
      </c>
      <c r="Z41" s="37" t="str">
        <f aca="false">IF(X41="","Unknown",IF(ISNUMBER(SEARCH("RTX",X41))+ISNUMBER(SEARCH("GTX",X41))+ISNUMBER(SEARCH("nvidia",X41))+ISNUMBER(SEARCH("Radeon RX",X41))&gt;0,"Dedicated","Integrated"))</f>
        <v>Integrated</v>
      </c>
      <c r="AA41" s="37" t="str">
        <f aca="false">IF(ISNUMBER(SEARCH("RTX",X41)),TRIM(MID(X41,SEARCH("RTX",X41),8)),IF(X41="","Unknown",IF(Z41="Dedicated","Dedicated (model n/a)","Integrated")))</f>
        <v>Integrated</v>
      </c>
      <c r="AB41" s="37" t="str">
        <f aca="false">IF(ISNUMBER(G41),INDEX(Params!$E$5:$E$9,MATCH(G41,Params!$D$5:$D$9,1)),"Unknown")</f>
        <v>100–200 M</v>
      </c>
      <c r="AC41" s="45" t="n">
        <f aca="false">IF(AND(ISNUMBER(G41),ISNUMBER(Q41)),IF(Q41&gt;0,G41/Q41,""),"")</f>
        <v>9.96875</v>
      </c>
      <c r="AD41" s="39" t="n">
        <f aca="false">IF(OR(p_excl=0,ISNUMBER(SEARCH("لپ",B41))),1,0)</f>
        <v>1</v>
      </c>
      <c r="AE41" s="39" t="n">
        <f aca="false">IF(AND(AD41=1,OR(fBrand="All",D41=fBrand),OR(fCPU="All",O41=fCPU),OR(fGPU="All",Z41=fGPU),OR(fTier="All",AB41=fTier),OR(fRAM="All",R41=fRAM)),1,0)</f>
        <v>1</v>
      </c>
      <c r="AF41" s="39" t="n">
        <f aca="false">IF(AND(AE41=1,ISNUMBER(G41)),1,0)</f>
        <v>1</v>
      </c>
      <c r="AG41" s="39" t="n">
        <f aca="false">IF(AND(AE41=1,L41&gt;0),1,0)</f>
        <v>1</v>
      </c>
      <c r="AH41" s="40" t="n">
        <f aca="false">IF(AF41=1,G41,"")</f>
        <v>159.5</v>
      </c>
      <c r="AI41" s="39" t="str">
        <f aca="false">IF(COUNTIF($D$2:D41,D41)=1,MAX($AI$1:AI40)+1,"")</f>
        <v/>
      </c>
      <c r="AJ41" s="39" t="str">
        <f aca="false">IF(COUNTIF($P$2:P41,P41)=1,MAX($AJ$1:AJ40)+1,"")</f>
        <v/>
      </c>
      <c r="AK41" s="47" t="n">
        <f aca="false">IF(AG41=1,M41+ROW()/1000000000,"")</f>
        <v>4.34090913190909</v>
      </c>
      <c r="AL41" s="47" t="str">
        <f aca="false">IF(AND(AE41=1,I41&gt;0),I41+ROW()/1000000000,"")</f>
        <v/>
      </c>
      <c r="AM41" s="39" t="n">
        <f aca="false">IF(AND(AF41=1,ISNUMBER(W41),Z41="Dedicated"),1,0)</f>
        <v>0</v>
      </c>
      <c r="AN41" s="39" t="n">
        <f aca="false">SUM($AM$2:AM41)</f>
        <v>9</v>
      </c>
      <c r="AO41" s="39" t="n">
        <f aca="false">IF(AND(AF41=1,ISNUMBER(W41),Z41&lt;&gt;"Dedicated"),1,0)</f>
        <v>1</v>
      </c>
      <c r="AP41" s="39" t="n">
        <f aca="false">SUM($AO$2:AO41)</f>
        <v>27</v>
      </c>
      <c r="AQ41" s="39" t="n">
        <f aca="false">IF(AND(AF41=1,AG41=1),1,0)</f>
        <v>1</v>
      </c>
      <c r="AR41" s="39" t="n">
        <f aca="false">SUM($AQ$2:AQ41)</f>
        <v>39</v>
      </c>
      <c r="AS41" s="45" t="n">
        <f aca="false">IF(AQ41=1,G41,0)</f>
        <v>159.5</v>
      </c>
      <c r="AT41" s="45" t="n">
        <f aca="false">IF(AQ41=1,K41,0)</f>
        <v>3</v>
      </c>
      <c r="AU41" s="37" t="str">
        <f aca="false">TRIM(IF(Raw!N41="","weight missing; ","")&amp;IF(Raw!K41="","storage missing; ","")&amp;IF(ISNUMBER(FIND(" و ",Raw!K41)),"dual storage - SSD part used; ","")&amp;IF(ISNUMBER(SEARCH("TB",Raw!K41)),"storage written as TB; ","")&amp;IF(Raw!I41="","cpu missing; ","")&amp;IF(Raw!M41="","gpu missing; ","")&amp;IF(Raw!J41="","ram missing; ","")&amp;IF(Raw!L41="","screen missing; ",""))</f>
        <v/>
      </c>
    </row>
    <row r="42" customFormat="false" ht="15" hidden="false" customHeight="false" outlineLevel="0" collapsed="false">
      <c r="A42" s="39" t="n">
        <f aca="false">Raw!A42</f>
        <v>160826</v>
      </c>
      <c r="B42" s="37" t="str">
        <f aca="false">Raw!B42</f>
        <v>لپ تاپ ایسوس 16 اینچی مدل TUF Gaming F16 FX608JMR i7 14650HX 16GB 1TB RTX 5060</v>
      </c>
      <c r="C42" s="37" t="str">
        <f aca="false">LOWER(TRIM(Raw!C42))</f>
        <v>asus</v>
      </c>
      <c r="D42" s="37" t="str">
        <f aca="false">IFERROR(INDEX(Params!$B$5:$B$13,MATCH(C42,Params!$A$5:$A$13,0)),PROPER(C42))</f>
        <v>ASUS</v>
      </c>
      <c r="E42" s="37" t="str">
        <f aca="false">IF(Raw!F42,"Available","Out of stock")</f>
        <v>Available</v>
      </c>
      <c r="F42" s="43" t="n">
        <f aca="false">IF(Raw!D42="","",Raw!D42)</f>
        <v>437500000</v>
      </c>
      <c r="G42" s="40" t="n">
        <f aca="false">IF(ISNUMBER(F42),F42/1000000,"")</f>
        <v>437.5</v>
      </c>
      <c r="H42" s="43" t="str">
        <f aca="false">IF(Raw!E42="","",Raw!E42)</f>
        <v/>
      </c>
      <c r="I42" s="42" t="n">
        <f aca="false">IF(AND(ISNUMBER(H42),ISNUMBER(F42)),IF(H42&gt;F42,(H42-F42)/H42,0),0)</f>
        <v>0</v>
      </c>
      <c r="J42" s="39" t="n">
        <f aca="false">IF(I42&gt;0,1,0)</f>
        <v>0</v>
      </c>
      <c r="K42" s="45" t="n">
        <f aca="false">Raw!G42</f>
        <v>5</v>
      </c>
      <c r="L42" s="39" t="n">
        <f aca="false">Raw!H42</f>
        <v>1</v>
      </c>
      <c r="M42" s="41" t="n">
        <f aca="false">IF(L42&gt;0,(L42*K42+p_m*p_c)/(L42+p_m),"")</f>
        <v>4.52272727272727</v>
      </c>
      <c r="N42" s="37" t="str">
        <f aca="false">IF(Raw!I42="","",TRIM(Raw!I42))</f>
        <v>Core i7 14650HX</v>
      </c>
      <c r="O42" s="37" t="str">
        <f aca="false">IF(N42="","Unknown",IF(LEFT(N42,5)="Apple","Apple",IF(LEFT(N42,5)="Ryzen","AMD","Intel")))</f>
        <v>Intel</v>
      </c>
      <c r="P42" s="37" t="str">
        <f aca="false">IF(N42="","Unknown",IF(LEFT(N42,5)="Apple","Apple Silicon",IF(LEFT(N42,8)="Ryzen AI","Ryzen AI",TRIM(LEFT(N42,7)))))</f>
        <v>Core i7</v>
      </c>
      <c r="Q42" s="39" t="n">
        <f aca="false">IFERROR(VALUE(LEFT(Raw!J42,FIND(" ",Raw!J42)-1)),"")</f>
        <v>16</v>
      </c>
      <c r="R42" s="37" t="str">
        <f aca="false">IF(NOT(ISNUMBER(Q42)),"Unknown",IF(Q42&lt;=8,"≤ 8 GB",IF(Q42&lt;=16,"12–16 GB","20 GB +")))</f>
        <v>12–16 GB</v>
      </c>
      <c r="S42" s="37" t="str">
        <f aca="false">IF(Raw!K42="","",IF(ISNUMBER(FIND(" و ",Raw!K42)),TRIM(MID(Raw!K42,FIND(" و ",Raw!K42)+3,100)),TRIM(Raw!K42)))</f>
        <v>1 ترابایت</v>
      </c>
      <c r="T42" s="43" t="n">
        <f aca="false">IF(S42="","",IFERROR(IFERROR(VALUE(LEFT(S42,FIND(" ",S42)-1)),VALUE(LEFT(S42,LEN(S42)-2)))*IF(OR(ISNUMBER(SEARCH("ترابایت",S42)),ISNUMBER(SEARCH("TB",S42))),1024,1),""))</f>
        <v>1024</v>
      </c>
      <c r="U42" s="37" t="str">
        <f aca="false">IF(NOT(ISNUMBER(T42)),"Unknown",IF(T42&lt;=256,"≤ 256 GB",IF(T42&lt;=512,"512 GB","1 TB +")))</f>
        <v>1 TB +</v>
      </c>
      <c r="V42" s="45" t="n">
        <f aca="false">IFERROR(VALUE(SUBSTITUTE(LEFT(Raw!L42,FIND(" ",Raw!L42)-1),".",MID(1/2,2,1))),"")</f>
        <v>16</v>
      </c>
      <c r="W42" s="41" t="n">
        <f aca="false">IFERROR(VALUE(SUBSTITUTE(LEFT(Raw!N42,FIND(" ",Raw!N42)-1),".",MID(1/2,2,1))),"")</f>
        <v>2.2</v>
      </c>
      <c r="X42" s="37" t="str">
        <f aca="false">IF(Raw!M42="","",TRIM(Raw!M42))</f>
        <v>NVIDIA GeForce RTX 5060</v>
      </c>
      <c r="Y42" s="37" t="str">
        <f aca="false">IF(X42="","Unknown",IF(ISNUMBER(SEARCH("nvidia",X42)),"NVIDIA",IF(ISNUMBER(SEARCH("amd",X42)),"AMD",IF(ISNUMBER(SEARCH("apple",X42)),"Apple",IF(ISNUMBER(SEARCH("intel",X42)),"Intel","Other")))))</f>
        <v>NVIDIA</v>
      </c>
      <c r="Z42" s="37" t="str">
        <f aca="false">IF(X42="","Unknown",IF(ISNUMBER(SEARCH("RTX",X42))+ISNUMBER(SEARCH("GTX",X42))+ISNUMBER(SEARCH("nvidia",X42))+ISNUMBER(SEARCH("Radeon RX",X42))&gt;0,"Dedicated","Integrated"))</f>
        <v>Dedicated</v>
      </c>
      <c r="AA42" s="37" t="str">
        <f aca="false">IF(ISNUMBER(SEARCH("RTX",X42)),TRIM(MID(X42,SEARCH("RTX",X42),8)),IF(X42="","Unknown",IF(Z42="Dedicated","Dedicated (model n/a)","Integrated")))</f>
        <v>RTX 5060</v>
      </c>
      <c r="AB42" s="37" t="str">
        <f aca="false">IF(ISNUMBER(G42),INDEX(Params!$E$5:$E$9,MATCH(G42,Params!$D$5:$D$9,1)),"Unknown")</f>
        <v>400 M +</v>
      </c>
      <c r="AC42" s="45" t="n">
        <f aca="false">IF(AND(ISNUMBER(G42),ISNUMBER(Q42)),IF(Q42&gt;0,G42/Q42,""),"")</f>
        <v>27.34375</v>
      </c>
      <c r="AD42" s="39" t="n">
        <f aca="false">IF(OR(p_excl=0,ISNUMBER(SEARCH("لپ",B42))),1,0)</f>
        <v>1</v>
      </c>
      <c r="AE42" s="39" t="n">
        <f aca="false">IF(AND(AD42=1,OR(fBrand="All",D42=fBrand),OR(fCPU="All",O42=fCPU),OR(fGPU="All",Z42=fGPU),OR(fTier="All",AB42=fTier),OR(fRAM="All",R42=fRAM)),1,0)</f>
        <v>1</v>
      </c>
      <c r="AF42" s="39" t="n">
        <f aca="false">IF(AND(AE42=1,ISNUMBER(G42)),1,0)</f>
        <v>1</v>
      </c>
      <c r="AG42" s="39" t="n">
        <f aca="false">IF(AND(AE42=1,L42&gt;0),1,0)</f>
        <v>1</v>
      </c>
      <c r="AH42" s="40" t="n">
        <f aca="false">IF(AF42=1,G42,"")</f>
        <v>437.5</v>
      </c>
      <c r="AI42" s="39" t="str">
        <f aca="false">IF(COUNTIF($D$2:D42,D42)=1,MAX($AI$1:AI41)+1,"")</f>
        <v/>
      </c>
      <c r="AJ42" s="39" t="str">
        <f aca="false">IF(COUNTIF($P$2:P42,P42)=1,MAX($AJ$1:AJ41)+1,"")</f>
        <v/>
      </c>
      <c r="AK42" s="47" t="n">
        <f aca="false">IF(AG42=1,M42+ROW()/1000000000,"")</f>
        <v>4.52272731472727</v>
      </c>
      <c r="AL42" s="47" t="str">
        <f aca="false">IF(AND(AE42=1,I42&gt;0),I42+ROW()/1000000000,"")</f>
        <v/>
      </c>
      <c r="AM42" s="39" t="n">
        <f aca="false">IF(AND(AF42=1,ISNUMBER(W42),Z42="Dedicated"),1,0)</f>
        <v>1</v>
      </c>
      <c r="AN42" s="39" t="n">
        <f aca="false">SUM($AM$2:AM42)</f>
        <v>10</v>
      </c>
      <c r="AO42" s="39" t="n">
        <f aca="false">IF(AND(AF42=1,ISNUMBER(W42),Z42&lt;&gt;"Dedicated"),1,0)</f>
        <v>0</v>
      </c>
      <c r="AP42" s="39" t="n">
        <f aca="false">SUM($AO$2:AO42)</f>
        <v>27</v>
      </c>
      <c r="AQ42" s="39" t="n">
        <f aca="false">IF(AND(AF42=1,AG42=1),1,0)</f>
        <v>1</v>
      </c>
      <c r="AR42" s="39" t="n">
        <f aca="false">SUM($AQ$2:AQ42)</f>
        <v>40</v>
      </c>
      <c r="AS42" s="45" t="n">
        <f aca="false">IF(AQ42=1,G42,0)</f>
        <v>437.5</v>
      </c>
      <c r="AT42" s="45" t="n">
        <f aca="false">IF(AQ42=1,K42,0)</f>
        <v>5</v>
      </c>
      <c r="AU42" s="37" t="str">
        <f aca="false">TRIM(IF(Raw!N42="","weight missing; ","")&amp;IF(Raw!K42="","storage missing; ","")&amp;IF(ISNUMBER(FIND(" و ",Raw!K42)),"dual storage - SSD part used; ","")&amp;IF(ISNUMBER(SEARCH("TB",Raw!K42)),"storage written as TB; ","")&amp;IF(Raw!I42="","cpu missing; ","")&amp;IF(Raw!M42="","gpu missing; ","")&amp;IF(Raw!J42="","ram missing; ","")&amp;IF(Raw!L42="","screen missing; ",""))</f>
        <v/>
      </c>
    </row>
    <row r="43" customFormat="false" ht="15" hidden="false" customHeight="false" outlineLevel="0" collapsed="false">
      <c r="A43" s="39" t="n">
        <f aca="false">Raw!A43</f>
        <v>149622</v>
      </c>
      <c r="B43" s="37" t="str">
        <f aca="false">Raw!B43</f>
        <v>لپ تاپ ایسوس 16 اینچی مدل TUF Gaming F16 FX608JMR i7 14650HX 32GB 1TB RTX 5060</v>
      </c>
      <c r="C43" s="37" t="str">
        <f aca="false">LOWER(TRIM(Raw!C43))</f>
        <v>asus</v>
      </c>
      <c r="D43" s="37" t="str">
        <f aca="false">IFERROR(INDEX(Params!$B$5:$B$13,MATCH(C43,Params!$A$5:$A$13,0)),PROPER(C43))</f>
        <v>ASUS</v>
      </c>
      <c r="E43" s="37" t="str">
        <f aca="false">IF(Raw!F43,"Available","Out of stock")</f>
        <v>Available</v>
      </c>
      <c r="F43" s="43" t="n">
        <f aca="false">IF(Raw!D43="","",Raw!D43)</f>
        <v>495500000</v>
      </c>
      <c r="G43" s="40" t="n">
        <f aca="false">IF(ISNUMBER(F43),F43/1000000,"")</f>
        <v>495.5</v>
      </c>
      <c r="H43" s="43" t="str">
        <f aca="false">IF(Raw!E43="","",Raw!E43)</f>
        <v/>
      </c>
      <c r="I43" s="42" t="n">
        <f aca="false">IF(AND(ISNUMBER(H43),ISNUMBER(F43)),IF(H43&gt;F43,(H43-F43)/H43,0),0)</f>
        <v>0</v>
      </c>
      <c r="J43" s="39" t="n">
        <f aca="false">IF(I43&gt;0,1,0)</f>
        <v>0</v>
      </c>
      <c r="K43" s="45" t="n">
        <f aca="false">Raw!G43</f>
        <v>4.6</v>
      </c>
      <c r="L43" s="39" t="n">
        <f aca="false">Raw!H43</f>
        <v>9</v>
      </c>
      <c r="M43" s="41" t="n">
        <f aca="false">IF(L43&gt;0,(L43*K43+p_m*p_c)/(L43+p_m),"")</f>
        <v>4.53421052631579</v>
      </c>
      <c r="N43" s="37" t="str">
        <f aca="false">IF(Raw!I43="","",TRIM(Raw!I43))</f>
        <v>Core i7 14650HX</v>
      </c>
      <c r="O43" s="37" t="str">
        <f aca="false">IF(N43="","Unknown",IF(LEFT(N43,5)="Apple","Apple",IF(LEFT(N43,5)="Ryzen","AMD","Intel")))</f>
        <v>Intel</v>
      </c>
      <c r="P43" s="37" t="str">
        <f aca="false">IF(N43="","Unknown",IF(LEFT(N43,5)="Apple","Apple Silicon",IF(LEFT(N43,8)="Ryzen AI","Ryzen AI",TRIM(LEFT(N43,7)))))</f>
        <v>Core i7</v>
      </c>
      <c r="Q43" s="39" t="n">
        <f aca="false">IFERROR(VALUE(LEFT(Raw!J43,FIND(" ",Raw!J43)-1)),"")</f>
        <v>32</v>
      </c>
      <c r="R43" s="37" t="str">
        <f aca="false">IF(NOT(ISNUMBER(Q43)),"Unknown",IF(Q43&lt;=8,"≤ 8 GB",IF(Q43&lt;=16,"12–16 GB","20 GB +")))</f>
        <v>20 GB +</v>
      </c>
      <c r="S43" s="37" t="str">
        <f aca="false">IF(Raw!K43="","",IF(ISNUMBER(FIND(" و ",Raw!K43)),TRIM(MID(Raw!K43,FIND(" و ",Raw!K43)+3,100)),TRIM(Raw!K43)))</f>
        <v>1 ترابایت</v>
      </c>
      <c r="T43" s="43" t="n">
        <f aca="false">IF(S43="","",IFERROR(IFERROR(VALUE(LEFT(S43,FIND(" ",S43)-1)),VALUE(LEFT(S43,LEN(S43)-2)))*IF(OR(ISNUMBER(SEARCH("ترابایت",S43)),ISNUMBER(SEARCH("TB",S43))),1024,1),""))</f>
        <v>1024</v>
      </c>
      <c r="U43" s="37" t="str">
        <f aca="false">IF(NOT(ISNUMBER(T43)),"Unknown",IF(T43&lt;=256,"≤ 256 GB",IF(T43&lt;=512,"512 GB","1 TB +")))</f>
        <v>1 TB +</v>
      </c>
      <c r="V43" s="45" t="n">
        <f aca="false">IFERROR(VALUE(SUBSTITUTE(LEFT(Raw!L43,FIND(" ",Raw!L43)-1),".",MID(1/2,2,1))),"")</f>
        <v>16</v>
      </c>
      <c r="W43" s="41" t="n">
        <f aca="false">IFERROR(VALUE(SUBSTITUTE(LEFT(Raw!N43,FIND(" ",Raw!N43)-1),".",MID(1/2,2,1))),"")</f>
        <v>2.2</v>
      </c>
      <c r="X43" s="37" t="str">
        <f aca="false">IF(Raw!M43="","",TRIM(Raw!M43))</f>
        <v>NVIDIA GeForce RTX 5060</v>
      </c>
      <c r="Y43" s="37" t="str">
        <f aca="false">IF(X43="","Unknown",IF(ISNUMBER(SEARCH("nvidia",X43)),"NVIDIA",IF(ISNUMBER(SEARCH("amd",X43)),"AMD",IF(ISNUMBER(SEARCH("apple",X43)),"Apple",IF(ISNUMBER(SEARCH("intel",X43)),"Intel","Other")))))</f>
        <v>NVIDIA</v>
      </c>
      <c r="Z43" s="37" t="str">
        <f aca="false">IF(X43="","Unknown",IF(ISNUMBER(SEARCH("RTX",X43))+ISNUMBER(SEARCH("GTX",X43))+ISNUMBER(SEARCH("nvidia",X43))+ISNUMBER(SEARCH("Radeon RX",X43))&gt;0,"Dedicated","Integrated"))</f>
        <v>Dedicated</v>
      </c>
      <c r="AA43" s="37" t="str">
        <f aca="false">IF(ISNUMBER(SEARCH("RTX",X43)),TRIM(MID(X43,SEARCH("RTX",X43),8)),IF(X43="","Unknown",IF(Z43="Dedicated","Dedicated (model n/a)","Integrated")))</f>
        <v>RTX 5060</v>
      </c>
      <c r="AB43" s="37" t="str">
        <f aca="false">IF(ISNUMBER(G43),INDEX(Params!$E$5:$E$9,MATCH(G43,Params!$D$5:$D$9,1)),"Unknown")</f>
        <v>400 M +</v>
      </c>
      <c r="AC43" s="45" t="n">
        <f aca="false">IF(AND(ISNUMBER(G43),ISNUMBER(Q43)),IF(Q43&gt;0,G43/Q43,""),"")</f>
        <v>15.484375</v>
      </c>
      <c r="AD43" s="39" t="n">
        <f aca="false">IF(OR(p_excl=0,ISNUMBER(SEARCH("لپ",B43))),1,0)</f>
        <v>1</v>
      </c>
      <c r="AE43" s="39" t="n">
        <f aca="false">IF(AND(AD43=1,OR(fBrand="All",D43=fBrand),OR(fCPU="All",O43=fCPU),OR(fGPU="All",Z43=fGPU),OR(fTier="All",AB43=fTier),OR(fRAM="All",R43=fRAM)),1,0)</f>
        <v>1</v>
      </c>
      <c r="AF43" s="39" t="n">
        <f aca="false">IF(AND(AE43=1,ISNUMBER(G43)),1,0)</f>
        <v>1</v>
      </c>
      <c r="AG43" s="39" t="n">
        <f aca="false">IF(AND(AE43=1,L43&gt;0),1,0)</f>
        <v>1</v>
      </c>
      <c r="AH43" s="40" t="n">
        <f aca="false">IF(AF43=1,G43,"")</f>
        <v>495.5</v>
      </c>
      <c r="AI43" s="39" t="str">
        <f aca="false">IF(COUNTIF($D$2:D43,D43)=1,MAX($AI$1:AI42)+1,"")</f>
        <v/>
      </c>
      <c r="AJ43" s="39" t="str">
        <f aca="false">IF(COUNTIF($P$2:P43,P43)=1,MAX($AJ$1:AJ42)+1,"")</f>
        <v/>
      </c>
      <c r="AK43" s="47" t="n">
        <f aca="false">IF(AG43=1,M43+ROW()/1000000000,"")</f>
        <v>4.53421056931579</v>
      </c>
      <c r="AL43" s="47" t="str">
        <f aca="false">IF(AND(AE43=1,I43&gt;0),I43+ROW()/1000000000,"")</f>
        <v/>
      </c>
      <c r="AM43" s="39" t="n">
        <f aca="false">IF(AND(AF43=1,ISNUMBER(W43),Z43="Dedicated"),1,0)</f>
        <v>1</v>
      </c>
      <c r="AN43" s="39" t="n">
        <f aca="false">SUM($AM$2:AM43)</f>
        <v>11</v>
      </c>
      <c r="AO43" s="39" t="n">
        <f aca="false">IF(AND(AF43=1,ISNUMBER(W43),Z43&lt;&gt;"Dedicated"),1,0)</f>
        <v>0</v>
      </c>
      <c r="AP43" s="39" t="n">
        <f aca="false">SUM($AO$2:AO43)</f>
        <v>27</v>
      </c>
      <c r="AQ43" s="39" t="n">
        <f aca="false">IF(AND(AF43=1,AG43=1),1,0)</f>
        <v>1</v>
      </c>
      <c r="AR43" s="39" t="n">
        <f aca="false">SUM($AQ$2:AQ43)</f>
        <v>41</v>
      </c>
      <c r="AS43" s="45" t="n">
        <f aca="false">IF(AQ43=1,G43,0)</f>
        <v>495.5</v>
      </c>
      <c r="AT43" s="45" t="n">
        <f aca="false">IF(AQ43=1,K43,0)</f>
        <v>4.6</v>
      </c>
      <c r="AU43" s="37" t="str">
        <f aca="false">TRIM(IF(Raw!N43="","weight missing; ","")&amp;IF(Raw!K43="","storage missing; ","")&amp;IF(ISNUMBER(FIND(" و ",Raw!K43)),"dual storage - SSD part used; ","")&amp;IF(ISNUMBER(SEARCH("TB",Raw!K43)),"storage written as TB; ","")&amp;IF(Raw!I43="","cpu missing; ","")&amp;IF(Raw!M43="","gpu missing; ","")&amp;IF(Raw!J43="","ram missing; ","")&amp;IF(Raw!L43="","screen missing; ",""))</f>
        <v/>
      </c>
    </row>
    <row r="44" customFormat="false" ht="15" hidden="false" customHeight="false" outlineLevel="0" collapsed="false">
      <c r="A44" s="39" t="n">
        <f aca="false">Raw!A44</f>
        <v>76175</v>
      </c>
      <c r="B44" s="37" t="str">
        <f aca="false">Raw!B44</f>
        <v>لپ تاپ ایسوس 16 اینچی مدل Vivobook 16 F1605VA Core i7 1355U 16GB 512GB</v>
      </c>
      <c r="C44" s="37" t="str">
        <f aca="false">LOWER(TRIM(Raw!C44))</f>
        <v>asus</v>
      </c>
      <c r="D44" s="37" t="str">
        <f aca="false">IFERROR(INDEX(Params!$B$5:$B$13,MATCH(C44,Params!$A$5:$A$13,0)),PROPER(C44))</f>
        <v>ASUS</v>
      </c>
      <c r="E44" s="37" t="str">
        <f aca="false">IF(Raw!F44,"Available","Out of stock")</f>
        <v>Available</v>
      </c>
      <c r="F44" s="43" t="n">
        <f aca="false">IF(Raw!D44="","",Raw!D44)</f>
        <v>224000000</v>
      </c>
      <c r="G44" s="40" t="n">
        <f aca="false">IF(ISNUMBER(F44),F44/1000000,"")</f>
        <v>224</v>
      </c>
      <c r="H44" s="43" t="str">
        <f aca="false">IF(Raw!E44="","",Raw!E44)</f>
        <v/>
      </c>
      <c r="I44" s="42" t="n">
        <f aca="false">IF(AND(ISNUMBER(H44),ISNUMBER(F44)),IF(H44&gt;F44,(H44-F44)/H44,0),0)</f>
        <v>0</v>
      </c>
      <c r="J44" s="39" t="n">
        <f aca="false">IF(I44&gt;0,1,0)</f>
        <v>0</v>
      </c>
      <c r="K44" s="45" t="n">
        <f aca="false">Raw!G44</f>
        <v>4.1</v>
      </c>
      <c r="L44" s="39" t="n">
        <f aca="false">Raw!H44</f>
        <v>21</v>
      </c>
      <c r="M44" s="41" t="n">
        <f aca="false">IF(L44&gt;0,(L44*K44+p_m*p_c)/(L44+p_m),"")</f>
        <v>4.22096774193548</v>
      </c>
      <c r="N44" s="37" t="str">
        <f aca="false">IF(Raw!I44="","",TRIM(Raw!I44))</f>
        <v>Core i7 1355U</v>
      </c>
      <c r="O44" s="37" t="str">
        <f aca="false">IF(N44="","Unknown",IF(LEFT(N44,5)="Apple","Apple",IF(LEFT(N44,5)="Ryzen","AMD","Intel")))</f>
        <v>Intel</v>
      </c>
      <c r="P44" s="37" t="str">
        <f aca="false">IF(N44="","Unknown",IF(LEFT(N44,5)="Apple","Apple Silicon",IF(LEFT(N44,8)="Ryzen AI","Ryzen AI",TRIM(LEFT(N44,7)))))</f>
        <v>Core i7</v>
      </c>
      <c r="Q44" s="39" t="n">
        <f aca="false">IFERROR(VALUE(LEFT(Raw!J44,FIND(" ",Raw!J44)-1)),"")</f>
        <v>16</v>
      </c>
      <c r="R44" s="37" t="str">
        <f aca="false">IF(NOT(ISNUMBER(Q44)),"Unknown",IF(Q44&lt;=8,"≤ 8 GB",IF(Q44&lt;=16,"12–16 GB","20 GB +")))</f>
        <v>12–16 GB</v>
      </c>
      <c r="S44" s="37" t="str">
        <f aca="false">IF(Raw!K44="","",IF(ISNUMBER(FIND(" و ",Raw!K44)),TRIM(MID(Raw!K44,FIND(" و ",Raw!K44)+3,100)),TRIM(Raw!K44)))</f>
        <v>512 گیگابایت</v>
      </c>
      <c r="T44" s="43" t="n">
        <f aca="false">IF(S44="","",IFERROR(IFERROR(VALUE(LEFT(S44,FIND(" ",S44)-1)),VALUE(LEFT(S44,LEN(S44)-2)))*IF(OR(ISNUMBER(SEARCH("ترابایت",S44)),ISNUMBER(SEARCH("TB",S44))),1024,1),""))</f>
        <v>512</v>
      </c>
      <c r="U44" s="37" t="str">
        <f aca="false">IF(NOT(ISNUMBER(T44)),"Unknown",IF(T44&lt;=256,"≤ 256 GB",IF(T44&lt;=512,"512 GB","1 TB +")))</f>
        <v>512 GB</v>
      </c>
      <c r="V44" s="45" t="n">
        <f aca="false">IFERROR(VALUE(SUBSTITUTE(LEFT(Raw!L44,FIND(" ",Raw!L44)-1),".",MID(1/2,2,1))),"")</f>
        <v>16</v>
      </c>
      <c r="W44" s="41" t="str">
        <f aca="false">IFERROR(VALUE(SUBSTITUTE(LEFT(Raw!N44,FIND(" ",Raw!N44)-1),".",MID(1/2,2,1))),"")</f>
        <v/>
      </c>
      <c r="X44" s="37" t="str">
        <f aca="false">IF(Raw!M44="","",TRIM(Raw!M44))</f>
        <v>Intel UHD Graphics</v>
      </c>
      <c r="Y44" s="37" t="str">
        <f aca="false">IF(X44="","Unknown",IF(ISNUMBER(SEARCH("nvidia",X44)),"NVIDIA",IF(ISNUMBER(SEARCH("amd",X44)),"AMD",IF(ISNUMBER(SEARCH("apple",X44)),"Apple",IF(ISNUMBER(SEARCH("intel",X44)),"Intel","Other")))))</f>
        <v>Intel</v>
      </c>
      <c r="Z44" s="37" t="str">
        <f aca="false">IF(X44="","Unknown",IF(ISNUMBER(SEARCH("RTX",X44))+ISNUMBER(SEARCH("GTX",X44))+ISNUMBER(SEARCH("nvidia",X44))+ISNUMBER(SEARCH("Radeon RX",X44))&gt;0,"Dedicated","Integrated"))</f>
        <v>Integrated</v>
      </c>
      <c r="AA44" s="37" t="str">
        <f aca="false">IF(ISNUMBER(SEARCH("RTX",X44)),TRIM(MID(X44,SEARCH("RTX",X44),8)),IF(X44="","Unknown",IF(Z44="Dedicated","Dedicated (model n/a)","Integrated")))</f>
        <v>Integrated</v>
      </c>
      <c r="AB44" s="37" t="str">
        <f aca="false">IF(ISNUMBER(G44),INDEX(Params!$E$5:$E$9,MATCH(G44,Params!$D$5:$D$9,1)),"Unknown")</f>
        <v>200–300 M</v>
      </c>
      <c r="AC44" s="45" t="n">
        <f aca="false">IF(AND(ISNUMBER(G44),ISNUMBER(Q44)),IF(Q44&gt;0,G44/Q44,""),"")</f>
        <v>14</v>
      </c>
      <c r="AD44" s="39" t="n">
        <f aca="false">IF(OR(p_excl=0,ISNUMBER(SEARCH("لپ",B44))),1,0)</f>
        <v>1</v>
      </c>
      <c r="AE44" s="39" t="n">
        <f aca="false">IF(AND(AD44=1,OR(fBrand="All",D44=fBrand),OR(fCPU="All",O44=fCPU),OR(fGPU="All",Z44=fGPU),OR(fTier="All",AB44=fTier),OR(fRAM="All",R44=fRAM)),1,0)</f>
        <v>1</v>
      </c>
      <c r="AF44" s="39" t="n">
        <f aca="false">IF(AND(AE44=1,ISNUMBER(G44)),1,0)</f>
        <v>1</v>
      </c>
      <c r="AG44" s="39" t="n">
        <f aca="false">IF(AND(AE44=1,L44&gt;0),1,0)</f>
        <v>1</v>
      </c>
      <c r="AH44" s="40" t="n">
        <f aca="false">IF(AF44=1,G44,"")</f>
        <v>224</v>
      </c>
      <c r="AI44" s="39" t="str">
        <f aca="false">IF(COUNTIF($D$2:D44,D44)=1,MAX($AI$1:AI43)+1,"")</f>
        <v/>
      </c>
      <c r="AJ44" s="39" t="str">
        <f aca="false">IF(COUNTIF($P$2:P44,P44)=1,MAX($AJ$1:AJ43)+1,"")</f>
        <v/>
      </c>
      <c r="AK44" s="47" t="n">
        <f aca="false">IF(AG44=1,M44+ROW()/1000000000,"")</f>
        <v>4.22096778593548</v>
      </c>
      <c r="AL44" s="47" t="str">
        <f aca="false">IF(AND(AE44=1,I44&gt;0),I44+ROW()/1000000000,"")</f>
        <v/>
      </c>
      <c r="AM44" s="39" t="n">
        <f aca="false">IF(AND(AF44=1,ISNUMBER(W44),Z44="Dedicated"),1,0)</f>
        <v>0</v>
      </c>
      <c r="AN44" s="39" t="n">
        <f aca="false">SUM($AM$2:AM44)</f>
        <v>11</v>
      </c>
      <c r="AO44" s="39" t="n">
        <f aca="false">IF(AND(AF44=1,ISNUMBER(W44),Z44&lt;&gt;"Dedicated"),1,0)</f>
        <v>0</v>
      </c>
      <c r="AP44" s="39" t="n">
        <f aca="false">SUM($AO$2:AO44)</f>
        <v>27</v>
      </c>
      <c r="AQ44" s="39" t="n">
        <f aca="false">IF(AND(AF44=1,AG44=1),1,0)</f>
        <v>1</v>
      </c>
      <c r="AR44" s="39" t="n">
        <f aca="false">SUM($AQ$2:AQ44)</f>
        <v>42</v>
      </c>
      <c r="AS44" s="45" t="n">
        <f aca="false">IF(AQ44=1,G44,0)</f>
        <v>224</v>
      </c>
      <c r="AT44" s="45" t="n">
        <f aca="false">IF(AQ44=1,K44,0)</f>
        <v>4.1</v>
      </c>
      <c r="AU44" s="37" t="str">
        <f aca="false">TRIM(IF(Raw!N44="","weight missing; ","")&amp;IF(Raw!K44="","storage missing; ","")&amp;IF(ISNUMBER(FIND(" و ",Raw!K44)),"dual storage - SSD part used; ","")&amp;IF(ISNUMBER(SEARCH("TB",Raw!K44)),"storage written as TB; ","")&amp;IF(Raw!I44="","cpu missing; ","")&amp;IF(Raw!M44="","gpu missing; ","")&amp;IF(Raw!J44="","ram missing; ","")&amp;IF(Raw!L44="","screen missing; ",""))</f>
        <v>weight missing;</v>
      </c>
    </row>
    <row r="45" customFormat="false" ht="15" hidden="false" customHeight="false" outlineLevel="0" collapsed="false">
      <c r="A45" s="39" t="n">
        <f aca="false">Raw!A45</f>
        <v>60756</v>
      </c>
      <c r="B45" s="37" t="str">
        <f aca="false">Raw!B45</f>
        <v>لپ تاپ ایسوس 15.6 اینچی مدل Vivobook 15 X1504ZA i3 1215U 16GB 512GB</v>
      </c>
      <c r="C45" s="37" t="str">
        <f aca="false">LOWER(TRIM(Raw!C45))</f>
        <v>asus</v>
      </c>
      <c r="D45" s="37" t="str">
        <f aca="false">IFERROR(INDEX(Params!$B$5:$B$13,MATCH(C45,Params!$A$5:$A$13,0)),PROPER(C45))</f>
        <v>ASUS</v>
      </c>
      <c r="E45" s="37" t="str">
        <f aca="false">IF(Raw!F45,"Available","Out of stock")</f>
        <v>Available</v>
      </c>
      <c r="F45" s="43" t="n">
        <f aca="false">IF(Raw!D45="","",Raw!D45)</f>
        <v>137500000</v>
      </c>
      <c r="G45" s="40" t="n">
        <f aca="false">IF(ISNUMBER(F45),F45/1000000,"")</f>
        <v>137.5</v>
      </c>
      <c r="H45" s="43" t="str">
        <f aca="false">IF(Raw!E45="","",Raw!E45)</f>
        <v/>
      </c>
      <c r="I45" s="42" t="n">
        <f aca="false">IF(AND(ISNUMBER(H45),ISNUMBER(F45)),IF(H45&gt;F45,(H45-F45)/H45,0),0)</f>
        <v>0</v>
      </c>
      <c r="J45" s="39" t="n">
        <f aca="false">IF(I45&gt;0,1,0)</f>
        <v>0</v>
      </c>
      <c r="K45" s="45" t="n">
        <f aca="false">Raw!G45</f>
        <v>5</v>
      </c>
      <c r="L45" s="39" t="n">
        <f aca="false">Raw!H45</f>
        <v>1</v>
      </c>
      <c r="M45" s="41" t="n">
        <f aca="false">IF(L45&gt;0,(L45*K45+p_m*p_c)/(L45+p_m),"")</f>
        <v>4.52272727272727</v>
      </c>
      <c r="N45" s="37" t="str">
        <f aca="false">IF(Raw!I45="","",TRIM(Raw!I45))</f>
        <v>Core i3 1215U</v>
      </c>
      <c r="O45" s="37" t="str">
        <f aca="false">IF(N45="","Unknown",IF(LEFT(N45,5)="Apple","Apple",IF(LEFT(N45,5)="Ryzen","AMD","Intel")))</f>
        <v>Intel</v>
      </c>
      <c r="P45" s="37" t="str">
        <f aca="false">IF(N45="","Unknown",IF(LEFT(N45,5)="Apple","Apple Silicon",IF(LEFT(N45,8)="Ryzen AI","Ryzen AI",TRIM(LEFT(N45,7)))))</f>
        <v>Core i3</v>
      </c>
      <c r="Q45" s="39" t="n">
        <f aca="false">IFERROR(VALUE(LEFT(Raw!J45,FIND(" ",Raw!J45)-1)),"")</f>
        <v>16</v>
      </c>
      <c r="R45" s="37" t="str">
        <f aca="false">IF(NOT(ISNUMBER(Q45)),"Unknown",IF(Q45&lt;=8,"≤ 8 GB",IF(Q45&lt;=16,"12–16 GB","20 GB +")))</f>
        <v>12–16 GB</v>
      </c>
      <c r="S45" s="37" t="str">
        <f aca="false">IF(Raw!K45="","",IF(ISNUMBER(FIND(" و ",Raw!K45)),TRIM(MID(Raw!K45,FIND(" و ",Raw!K45)+3,100)),TRIM(Raw!K45)))</f>
        <v>512 گیگابایت</v>
      </c>
      <c r="T45" s="43" t="n">
        <f aca="false">IF(S45="","",IFERROR(IFERROR(VALUE(LEFT(S45,FIND(" ",S45)-1)),VALUE(LEFT(S45,LEN(S45)-2)))*IF(OR(ISNUMBER(SEARCH("ترابایت",S45)),ISNUMBER(SEARCH("TB",S45))),1024,1),""))</f>
        <v>512</v>
      </c>
      <c r="U45" s="37" t="str">
        <f aca="false">IF(NOT(ISNUMBER(T45)),"Unknown",IF(T45&lt;=256,"≤ 256 GB",IF(T45&lt;=512,"512 GB","1 TB +")))</f>
        <v>512 GB</v>
      </c>
      <c r="V45" s="45" t="n">
        <f aca="false">IFERROR(VALUE(SUBSTITUTE(LEFT(Raw!L45,FIND(" ",Raw!L45)-1),".",MID(1/2,2,1))),"")</f>
        <v>15.6</v>
      </c>
      <c r="W45" s="41" t="n">
        <f aca="false">IFERROR(VALUE(SUBSTITUTE(LEFT(Raw!N45,FIND(" ",Raw!N45)-1),".",MID(1/2,2,1))),"")</f>
        <v>1.7</v>
      </c>
      <c r="X45" s="37" t="str">
        <f aca="false">IF(Raw!M45="","",TRIM(Raw!M45))</f>
        <v>Intel UHD Graphics</v>
      </c>
      <c r="Y45" s="37" t="str">
        <f aca="false">IF(X45="","Unknown",IF(ISNUMBER(SEARCH("nvidia",X45)),"NVIDIA",IF(ISNUMBER(SEARCH("amd",X45)),"AMD",IF(ISNUMBER(SEARCH("apple",X45)),"Apple",IF(ISNUMBER(SEARCH("intel",X45)),"Intel","Other")))))</f>
        <v>Intel</v>
      </c>
      <c r="Z45" s="37" t="str">
        <f aca="false">IF(X45="","Unknown",IF(ISNUMBER(SEARCH("RTX",X45))+ISNUMBER(SEARCH("GTX",X45))+ISNUMBER(SEARCH("nvidia",X45))+ISNUMBER(SEARCH("Radeon RX",X45))&gt;0,"Dedicated","Integrated"))</f>
        <v>Integrated</v>
      </c>
      <c r="AA45" s="37" t="str">
        <f aca="false">IF(ISNUMBER(SEARCH("RTX",X45)),TRIM(MID(X45,SEARCH("RTX",X45),8)),IF(X45="","Unknown",IF(Z45="Dedicated","Dedicated (model n/a)","Integrated")))</f>
        <v>Integrated</v>
      </c>
      <c r="AB45" s="37" t="str">
        <f aca="false">IF(ISNUMBER(G45),INDEX(Params!$E$5:$E$9,MATCH(G45,Params!$D$5:$D$9,1)),"Unknown")</f>
        <v>100–200 M</v>
      </c>
      <c r="AC45" s="45" t="n">
        <f aca="false">IF(AND(ISNUMBER(G45),ISNUMBER(Q45)),IF(Q45&gt;0,G45/Q45,""),"")</f>
        <v>8.59375</v>
      </c>
      <c r="AD45" s="39" t="n">
        <f aca="false">IF(OR(p_excl=0,ISNUMBER(SEARCH("لپ",B45))),1,0)</f>
        <v>1</v>
      </c>
      <c r="AE45" s="39" t="n">
        <f aca="false">IF(AND(AD45=1,OR(fBrand="All",D45=fBrand),OR(fCPU="All",O45=fCPU),OR(fGPU="All",Z45=fGPU),OR(fTier="All",AB45=fTier),OR(fRAM="All",R45=fRAM)),1,0)</f>
        <v>1</v>
      </c>
      <c r="AF45" s="39" t="n">
        <f aca="false">IF(AND(AE45=1,ISNUMBER(G45)),1,0)</f>
        <v>1</v>
      </c>
      <c r="AG45" s="39" t="n">
        <f aca="false">IF(AND(AE45=1,L45&gt;0),1,0)</f>
        <v>1</v>
      </c>
      <c r="AH45" s="40" t="n">
        <f aca="false">IF(AF45=1,G45,"")</f>
        <v>137.5</v>
      </c>
      <c r="AI45" s="39" t="str">
        <f aca="false">IF(COUNTIF($D$2:D45,D45)=1,MAX($AI$1:AI44)+1,"")</f>
        <v/>
      </c>
      <c r="AJ45" s="39" t="str">
        <f aca="false">IF(COUNTIF($P$2:P45,P45)=1,MAX($AJ$1:AJ44)+1,"")</f>
        <v/>
      </c>
      <c r="AK45" s="47" t="n">
        <f aca="false">IF(AG45=1,M45+ROW()/1000000000,"")</f>
        <v>4.52272731772727</v>
      </c>
      <c r="AL45" s="47" t="str">
        <f aca="false">IF(AND(AE45=1,I45&gt;0),I45+ROW()/1000000000,"")</f>
        <v/>
      </c>
      <c r="AM45" s="39" t="n">
        <f aca="false">IF(AND(AF45=1,ISNUMBER(W45),Z45="Dedicated"),1,0)</f>
        <v>0</v>
      </c>
      <c r="AN45" s="39" t="n">
        <f aca="false">SUM($AM$2:AM45)</f>
        <v>11</v>
      </c>
      <c r="AO45" s="39" t="n">
        <f aca="false">IF(AND(AF45=1,ISNUMBER(W45),Z45&lt;&gt;"Dedicated"),1,0)</f>
        <v>1</v>
      </c>
      <c r="AP45" s="39" t="n">
        <f aca="false">SUM($AO$2:AO45)</f>
        <v>28</v>
      </c>
      <c r="AQ45" s="39" t="n">
        <f aca="false">IF(AND(AF45=1,AG45=1),1,0)</f>
        <v>1</v>
      </c>
      <c r="AR45" s="39" t="n">
        <f aca="false">SUM($AQ$2:AQ45)</f>
        <v>43</v>
      </c>
      <c r="AS45" s="45" t="n">
        <f aca="false">IF(AQ45=1,G45,0)</f>
        <v>137.5</v>
      </c>
      <c r="AT45" s="45" t="n">
        <f aca="false">IF(AQ45=1,K45,0)</f>
        <v>5</v>
      </c>
      <c r="AU45" s="37" t="str">
        <f aca="false">TRIM(IF(Raw!N45="","weight missing; ","")&amp;IF(Raw!K45="","storage missing; ","")&amp;IF(ISNUMBER(FIND(" و ",Raw!K45)),"dual storage - SSD part used; ","")&amp;IF(ISNUMBER(SEARCH("TB",Raw!K45)),"storage written as TB; ","")&amp;IF(Raw!I45="","cpu missing; ","")&amp;IF(Raw!M45="","gpu missing; ","")&amp;IF(Raw!J45="","ram missing; ","")&amp;IF(Raw!L45="","screen missing; ",""))</f>
        <v/>
      </c>
    </row>
    <row r="46" customFormat="false" ht="15" hidden="false" customHeight="false" outlineLevel="0" collapsed="false">
      <c r="A46" s="39" t="n">
        <f aca="false">Raw!A46</f>
        <v>240045</v>
      </c>
      <c r="B46" s="37" t="str">
        <f aca="false">Raw!B46</f>
        <v>لپ تاپ لنوو 15.3 اینچی مدل IdeaPad Slim 3 i5 13420H 8GB 512GB WUXGA Backlit</v>
      </c>
      <c r="C46" s="37" t="str">
        <f aca="false">LOWER(TRIM(Raw!C46))</f>
        <v>lenovo</v>
      </c>
      <c r="D46" s="37" t="str">
        <f aca="false">IFERROR(INDEX(Params!$B$5:$B$13,MATCH(C46,Params!$A$5:$A$13,0)),PROPER(C46))</f>
        <v>Lenovo</v>
      </c>
      <c r="E46" s="37" t="str">
        <f aca="false">IF(Raw!F46,"Available","Out of stock")</f>
        <v>Available</v>
      </c>
      <c r="F46" s="43" t="n">
        <f aca="false">IF(Raw!D46="","",Raw!D46)</f>
        <v>160000000</v>
      </c>
      <c r="G46" s="40" t="n">
        <f aca="false">IF(ISNUMBER(F46),F46/1000000,"")</f>
        <v>160</v>
      </c>
      <c r="H46" s="43" t="str">
        <f aca="false">IF(Raw!E46="","",Raw!E46)</f>
        <v/>
      </c>
      <c r="I46" s="42" t="n">
        <f aca="false">IF(AND(ISNUMBER(H46),ISNUMBER(F46)),IF(H46&gt;F46,(H46-F46)/H46,0),0)</f>
        <v>0</v>
      </c>
      <c r="J46" s="39" t="n">
        <f aca="false">IF(I46&gt;0,1,0)</f>
        <v>0</v>
      </c>
      <c r="K46" s="45" t="n">
        <f aca="false">Raw!G46</f>
        <v>5</v>
      </c>
      <c r="L46" s="39" t="n">
        <f aca="false">Raw!H46</f>
        <v>2</v>
      </c>
      <c r="M46" s="41" t="n">
        <f aca="false">IF(L46&gt;0,(L46*K46+p_m*p_c)/(L46+p_m),"")</f>
        <v>4.5625</v>
      </c>
      <c r="N46" s="37" t="str">
        <f aca="false">IF(Raw!I46="","",TRIM(Raw!I46))</f>
        <v>Core i5 13420H</v>
      </c>
      <c r="O46" s="37" t="str">
        <f aca="false">IF(N46="","Unknown",IF(LEFT(N46,5)="Apple","Apple",IF(LEFT(N46,5)="Ryzen","AMD","Intel")))</f>
        <v>Intel</v>
      </c>
      <c r="P46" s="37" t="str">
        <f aca="false">IF(N46="","Unknown",IF(LEFT(N46,5)="Apple","Apple Silicon",IF(LEFT(N46,8)="Ryzen AI","Ryzen AI",TRIM(LEFT(N46,7)))))</f>
        <v>Core i5</v>
      </c>
      <c r="Q46" s="39" t="n">
        <f aca="false">IFERROR(VALUE(LEFT(Raw!J46,FIND(" ",Raw!J46)-1)),"")</f>
        <v>8</v>
      </c>
      <c r="R46" s="37" t="str">
        <f aca="false">IF(NOT(ISNUMBER(Q46)),"Unknown",IF(Q46&lt;=8,"≤ 8 GB",IF(Q46&lt;=16,"12–16 GB","20 GB +")))</f>
        <v>≤ 8 GB</v>
      </c>
      <c r="S46" s="37" t="str">
        <f aca="false">IF(Raw!K46="","",IF(ISNUMBER(FIND(" و ",Raw!K46)),TRIM(MID(Raw!K46,FIND(" و ",Raw!K46)+3,100)),TRIM(Raw!K46)))</f>
        <v>512 گیگابایت</v>
      </c>
      <c r="T46" s="43" t="n">
        <f aca="false">IF(S46="","",IFERROR(IFERROR(VALUE(LEFT(S46,FIND(" ",S46)-1)),VALUE(LEFT(S46,LEN(S46)-2)))*IF(OR(ISNUMBER(SEARCH("ترابایت",S46)),ISNUMBER(SEARCH("TB",S46))),1024,1),""))</f>
        <v>512</v>
      </c>
      <c r="U46" s="37" t="str">
        <f aca="false">IF(NOT(ISNUMBER(T46)),"Unknown",IF(T46&lt;=256,"≤ 256 GB",IF(T46&lt;=512,"512 GB","1 TB +")))</f>
        <v>512 GB</v>
      </c>
      <c r="V46" s="45" t="n">
        <f aca="false">IFERROR(VALUE(SUBSTITUTE(LEFT(Raw!L46,FIND(" ",Raw!L46)-1),".",MID(1/2,2,1))),"")</f>
        <v>15.3</v>
      </c>
      <c r="W46" s="41" t="str">
        <f aca="false">IFERROR(VALUE(SUBSTITUTE(LEFT(Raw!N46,FIND(" ",Raw!N46)-1),".",MID(1/2,2,1))),"")</f>
        <v/>
      </c>
      <c r="X46" s="37" t="str">
        <f aca="false">IF(Raw!M46="","",TRIM(Raw!M46))</f>
        <v>Intel UHD Graphics</v>
      </c>
      <c r="Y46" s="37" t="str">
        <f aca="false">IF(X46="","Unknown",IF(ISNUMBER(SEARCH("nvidia",X46)),"NVIDIA",IF(ISNUMBER(SEARCH("amd",X46)),"AMD",IF(ISNUMBER(SEARCH("apple",X46)),"Apple",IF(ISNUMBER(SEARCH("intel",X46)),"Intel","Other")))))</f>
        <v>Intel</v>
      </c>
      <c r="Z46" s="37" t="str">
        <f aca="false">IF(X46="","Unknown",IF(ISNUMBER(SEARCH("RTX",X46))+ISNUMBER(SEARCH("GTX",X46))+ISNUMBER(SEARCH("nvidia",X46))+ISNUMBER(SEARCH("Radeon RX",X46))&gt;0,"Dedicated","Integrated"))</f>
        <v>Integrated</v>
      </c>
      <c r="AA46" s="37" t="str">
        <f aca="false">IF(ISNUMBER(SEARCH("RTX",X46)),TRIM(MID(X46,SEARCH("RTX",X46),8)),IF(X46="","Unknown",IF(Z46="Dedicated","Dedicated (model n/a)","Integrated")))</f>
        <v>Integrated</v>
      </c>
      <c r="AB46" s="37" t="str">
        <f aca="false">IF(ISNUMBER(G46),INDEX(Params!$E$5:$E$9,MATCH(G46,Params!$D$5:$D$9,1)),"Unknown")</f>
        <v>100–200 M</v>
      </c>
      <c r="AC46" s="45" t="n">
        <f aca="false">IF(AND(ISNUMBER(G46),ISNUMBER(Q46)),IF(Q46&gt;0,G46/Q46,""),"")</f>
        <v>20</v>
      </c>
      <c r="AD46" s="39" t="n">
        <f aca="false">IF(OR(p_excl=0,ISNUMBER(SEARCH("لپ",B46))),1,0)</f>
        <v>1</v>
      </c>
      <c r="AE46" s="39" t="n">
        <f aca="false">IF(AND(AD46=1,OR(fBrand="All",D46=fBrand),OR(fCPU="All",O46=fCPU),OR(fGPU="All",Z46=fGPU),OR(fTier="All",AB46=fTier),OR(fRAM="All",R46=fRAM)),1,0)</f>
        <v>1</v>
      </c>
      <c r="AF46" s="39" t="n">
        <f aca="false">IF(AND(AE46=1,ISNUMBER(G46)),1,0)</f>
        <v>1</v>
      </c>
      <c r="AG46" s="39" t="n">
        <f aca="false">IF(AND(AE46=1,L46&gt;0),1,0)</f>
        <v>1</v>
      </c>
      <c r="AH46" s="40" t="n">
        <f aca="false">IF(AF46=1,G46,"")</f>
        <v>160</v>
      </c>
      <c r="AI46" s="39" t="str">
        <f aca="false">IF(COUNTIF($D$2:D46,D46)=1,MAX($AI$1:AI45)+1,"")</f>
        <v/>
      </c>
      <c r="AJ46" s="39" t="str">
        <f aca="false">IF(COUNTIF($P$2:P46,P46)=1,MAX($AJ$1:AJ45)+1,"")</f>
        <v/>
      </c>
      <c r="AK46" s="47" t="n">
        <f aca="false">IF(AG46=1,M46+ROW()/1000000000,"")</f>
        <v>4.562500046</v>
      </c>
      <c r="AL46" s="47" t="str">
        <f aca="false">IF(AND(AE46=1,I46&gt;0),I46+ROW()/1000000000,"")</f>
        <v/>
      </c>
      <c r="AM46" s="39" t="n">
        <f aca="false">IF(AND(AF46=1,ISNUMBER(W46),Z46="Dedicated"),1,0)</f>
        <v>0</v>
      </c>
      <c r="AN46" s="39" t="n">
        <f aca="false">SUM($AM$2:AM46)</f>
        <v>11</v>
      </c>
      <c r="AO46" s="39" t="n">
        <f aca="false">IF(AND(AF46=1,ISNUMBER(W46),Z46&lt;&gt;"Dedicated"),1,0)</f>
        <v>0</v>
      </c>
      <c r="AP46" s="39" t="n">
        <f aca="false">SUM($AO$2:AO46)</f>
        <v>28</v>
      </c>
      <c r="AQ46" s="39" t="n">
        <f aca="false">IF(AND(AF46=1,AG46=1),1,0)</f>
        <v>1</v>
      </c>
      <c r="AR46" s="39" t="n">
        <f aca="false">SUM($AQ$2:AQ46)</f>
        <v>44</v>
      </c>
      <c r="AS46" s="45" t="n">
        <f aca="false">IF(AQ46=1,G46,0)</f>
        <v>160</v>
      </c>
      <c r="AT46" s="45" t="n">
        <f aca="false">IF(AQ46=1,K46,0)</f>
        <v>5</v>
      </c>
      <c r="AU46" s="37" t="str">
        <f aca="false">TRIM(IF(Raw!N46="","weight missing; ","")&amp;IF(Raw!K46="","storage missing; ","")&amp;IF(ISNUMBER(FIND(" و ",Raw!K46)),"dual storage - SSD part used; ","")&amp;IF(ISNUMBER(SEARCH("TB",Raw!K46)),"storage written as TB; ","")&amp;IF(Raw!I46="","cpu missing; ","")&amp;IF(Raw!M46="","gpu missing; ","")&amp;IF(Raw!J46="","ram missing; ","")&amp;IF(Raw!L46="","screen missing; ",""))</f>
        <v>weight missing;</v>
      </c>
    </row>
    <row r="47" customFormat="false" ht="15" hidden="false" customHeight="false" outlineLevel="0" collapsed="false">
      <c r="A47" s="39" t="n">
        <f aca="false">Raw!A47</f>
        <v>169781</v>
      </c>
      <c r="B47" s="37" t="str">
        <f aca="false">Raw!B47</f>
        <v>لپ تاپ ایسوس 16 اینچی مدل ROG Strix G16 G615JMR i7 14650HX 16GB 1TB RTX 5060</v>
      </c>
      <c r="C47" s="37" t="str">
        <f aca="false">LOWER(TRIM(Raw!C47))</f>
        <v>asus</v>
      </c>
      <c r="D47" s="37" t="str">
        <f aca="false">IFERROR(INDEX(Params!$B$5:$B$13,MATCH(C47,Params!$A$5:$A$13,0)),PROPER(C47))</f>
        <v>ASUS</v>
      </c>
      <c r="E47" s="37" t="str">
        <f aca="false">IF(Raw!F47,"Available","Out of stock")</f>
        <v>Available</v>
      </c>
      <c r="F47" s="43" t="n">
        <f aca="false">IF(Raw!D47="","",Raw!D47)</f>
        <v>504000000</v>
      </c>
      <c r="G47" s="40" t="n">
        <f aca="false">IF(ISNUMBER(F47),F47/1000000,"")</f>
        <v>504</v>
      </c>
      <c r="H47" s="43" t="str">
        <f aca="false">IF(Raw!E47="","",Raw!E47)</f>
        <v/>
      </c>
      <c r="I47" s="42" t="n">
        <f aca="false">IF(AND(ISNUMBER(H47),ISNUMBER(F47)),IF(H47&gt;F47,(H47-F47)/H47,0),0)</f>
        <v>0</v>
      </c>
      <c r="J47" s="39" t="n">
        <f aca="false">IF(I47&gt;0,1,0)</f>
        <v>0</v>
      </c>
      <c r="K47" s="45" t="n">
        <f aca="false">Raw!G47</f>
        <v>5</v>
      </c>
      <c r="L47" s="39" t="n">
        <f aca="false">Raw!H47</f>
        <v>4</v>
      </c>
      <c r="M47" s="41" t="n">
        <f aca="false">IF(L47&gt;0,(L47*K47+p_m*p_c)/(L47+p_m),"")</f>
        <v>4.625</v>
      </c>
      <c r="N47" s="37" t="str">
        <f aca="false">IF(Raw!I47="","",TRIM(Raw!I47))</f>
        <v>Core i7 14650HX</v>
      </c>
      <c r="O47" s="37" t="str">
        <f aca="false">IF(N47="","Unknown",IF(LEFT(N47,5)="Apple","Apple",IF(LEFT(N47,5)="Ryzen","AMD","Intel")))</f>
        <v>Intel</v>
      </c>
      <c r="P47" s="37" t="str">
        <f aca="false">IF(N47="","Unknown",IF(LEFT(N47,5)="Apple","Apple Silicon",IF(LEFT(N47,8)="Ryzen AI","Ryzen AI",TRIM(LEFT(N47,7)))))</f>
        <v>Core i7</v>
      </c>
      <c r="Q47" s="39" t="n">
        <f aca="false">IFERROR(VALUE(LEFT(Raw!J47,FIND(" ",Raw!J47)-1)),"")</f>
        <v>16</v>
      </c>
      <c r="R47" s="37" t="str">
        <f aca="false">IF(NOT(ISNUMBER(Q47)),"Unknown",IF(Q47&lt;=8,"≤ 8 GB",IF(Q47&lt;=16,"12–16 GB","20 GB +")))</f>
        <v>12–16 GB</v>
      </c>
      <c r="S47" s="37" t="str">
        <f aca="false">IF(Raw!K47="","",IF(ISNUMBER(FIND(" و ",Raw!K47)),TRIM(MID(Raw!K47,FIND(" و ",Raw!K47)+3,100)),TRIM(Raw!K47)))</f>
        <v>1 ترابایت</v>
      </c>
      <c r="T47" s="43" t="n">
        <f aca="false">IF(S47="","",IFERROR(IFERROR(VALUE(LEFT(S47,FIND(" ",S47)-1)),VALUE(LEFT(S47,LEN(S47)-2)))*IF(OR(ISNUMBER(SEARCH("ترابایت",S47)),ISNUMBER(SEARCH("TB",S47))),1024,1),""))</f>
        <v>1024</v>
      </c>
      <c r="U47" s="37" t="str">
        <f aca="false">IF(NOT(ISNUMBER(T47)),"Unknown",IF(T47&lt;=256,"≤ 256 GB",IF(T47&lt;=512,"512 GB","1 TB +")))</f>
        <v>1 TB +</v>
      </c>
      <c r="V47" s="45" t="n">
        <f aca="false">IFERROR(VALUE(SUBSTITUTE(LEFT(Raw!L47,FIND(" ",Raw!L47)-1),".",MID(1/2,2,1))),"")</f>
        <v>16</v>
      </c>
      <c r="W47" s="41" t="n">
        <f aca="false">IFERROR(VALUE(SUBSTITUTE(LEFT(Raw!N47,FIND(" ",Raw!N47)-1),".",MID(1/2,2,1))),"")</f>
        <v>2.65</v>
      </c>
      <c r="X47" s="37" t="str">
        <f aca="false">IF(Raw!M47="","",TRIM(Raw!M47))</f>
        <v>NVIDIA GeForce RTX 5060</v>
      </c>
      <c r="Y47" s="37" t="str">
        <f aca="false">IF(X47="","Unknown",IF(ISNUMBER(SEARCH("nvidia",X47)),"NVIDIA",IF(ISNUMBER(SEARCH("amd",X47)),"AMD",IF(ISNUMBER(SEARCH("apple",X47)),"Apple",IF(ISNUMBER(SEARCH("intel",X47)),"Intel","Other")))))</f>
        <v>NVIDIA</v>
      </c>
      <c r="Z47" s="37" t="str">
        <f aca="false">IF(X47="","Unknown",IF(ISNUMBER(SEARCH("RTX",X47))+ISNUMBER(SEARCH("GTX",X47))+ISNUMBER(SEARCH("nvidia",X47))+ISNUMBER(SEARCH("Radeon RX",X47))&gt;0,"Dedicated","Integrated"))</f>
        <v>Dedicated</v>
      </c>
      <c r="AA47" s="37" t="str">
        <f aca="false">IF(ISNUMBER(SEARCH("RTX",X47)),TRIM(MID(X47,SEARCH("RTX",X47),8)),IF(X47="","Unknown",IF(Z47="Dedicated","Dedicated (model n/a)","Integrated")))</f>
        <v>RTX 5060</v>
      </c>
      <c r="AB47" s="37" t="str">
        <f aca="false">IF(ISNUMBER(G47),INDEX(Params!$E$5:$E$9,MATCH(G47,Params!$D$5:$D$9,1)),"Unknown")</f>
        <v>400 M +</v>
      </c>
      <c r="AC47" s="45" t="n">
        <f aca="false">IF(AND(ISNUMBER(G47),ISNUMBER(Q47)),IF(Q47&gt;0,G47/Q47,""),"")</f>
        <v>31.5</v>
      </c>
      <c r="AD47" s="39" t="n">
        <f aca="false">IF(OR(p_excl=0,ISNUMBER(SEARCH("لپ",B47))),1,0)</f>
        <v>1</v>
      </c>
      <c r="AE47" s="39" t="n">
        <f aca="false">IF(AND(AD47=1,OR(fBrand="All",D47=fBrand),OR(fCPU="All",O47=fCPU),OR(fGPU="All",Z47=fGPU),OR(fTier="All",AB47=fTier),OR(fRAM="All",R47=fRAM)),1,0)</f>
        <v>1</v>
      </c>
      <c r="AF47" s="39" t="n">
        <f aca="false">IF(AND(AE47=1,ISNUMBER(G47)),1,0)</f>
        <v>1</v>
      </c>
      <c r="AG47" s="39" t="n">
        <f aca="false">IF(AND(AE47=1,L47&gt;0),1,0)</f>
        <v>1</v>
      </c>
      <c r="AH47" s="40" t="n">
        <f aca="false">IF(AF47=1,G47,"")</f>
        <v>504</v>
      </c>
      <c r="AI47" s="39" t="str">
        <f aca="false">IF(COUNTIF($D$2:D47,D47)=1,MAX($AI$1:AI46)+1,"")</f>
        <v/>
      </c>
      <c r="AJ47" s="39" t="str">
        <f aca="false">IF(COUNTIF($P$2:P47,P47)=1,MAX($AJ$1:AJ46)+1,"")</f>
        <v/>
      </c>
      <c r="AK47" s="47" t="n">
        <f aca="false">IF(AG47=1,M47+ROW()/1000000000,"")</f>
        <v>4.625000047</v>
      </c>
      <c r="AL47" s="47" t="str">
        <f aca="false">IF(AND(AE47=1,I47&gt;0),I47+ROW()/1000000000,"")</f>
        <v/>
      </c>
      <c r="AM47" s="39" t="n">
        <f aca="false">IF(AND(AF47=1,ISNUMBER(W47),Z47="Dedicated"),1,0)</f>
        <v>1</v>
      </c>
      <c r="AN47" s="39" t="n">
        <f aca="false">SUM($AM$2:AM47)</f>
        <v>12</v>
      </c>
      <c r="AO47" s="39" t="n">
        <f aca="false">IF(AND(AF47=1,ISNUMBER(W47),Z47&lt;&gt;"Dedicated"),1,0)</f>
        <v>0</v>
      </c>
      <c r="AP47" s="39" t="n">
        <f aca="false">SUM($AO$2:AO47)</f>
        <v>28</v>
      </c>
      <c r="AQ47" s="39" t="n">
        <f aca="false">IF(AND(AF47=1,AG47=1),1,0)</f>
        <v>1</v>
      </c>
      <c r="AR47" s="39" t="n">
        <f aca="false">SUM($AQ$2:AQ47)</f>
        <v>45</v>
      </c>
      <c r="AS47" s="45" t="n">
        <f aca="false">IF(AQ47=1,G47,0)</f>
        <v>504</v>
      </c>
      <c r="AT47" s="45" t="n">
        <f aca="false">IF(AQ47=1,K47,0)</f>
        <v>5</v>
      </c>
      <c r="AU47" s="37" t="str">
        <f aca="false">TRIM(IF(Raw!N47="","weight missing; ","")&amp;IF(Raw!K47="","storage missing; ","")&amp;IF(ISNUMBER(FIND(" و ",Raw!K47)),"dual storage - SSD part used; ","")&amp;IF(ISNUMBER(SEARCH("TB",Raw!K47)),"storage written as TB; ","")&amp;IF(Raw!I47="","cpu missing; ","")&amp;IF(Raw!M47="","gpu missing; ","")&amp;IF(Raw!J47="","ram missing; ","")&amp;IF(Raw!L47="","screen missing; ",""))</f>
        <v/>
      </c>
    </row>
    <row r="48" customFormat="false" ht="15" hidden="false" customHeight="false" outlineLevel="0" collapsed="false">
      <c r="A48" s="39" t="n">
        <f aca="false">Raw!A48</f>
        <v>168233</v>
      </c>
      <c r="B48" s="37" t="str">
        <f aca="false">Raw!B48</f>
        <v>لپ تاپ لنوو 15.6 اینچی مدل LOQ i7 14700HX 16GB 1TB RTX 5060</v>
      </c>
      <c r="C48" s="37" t="str">
        <f aca="false">LOWER(TRIM(Raw!C48))</f>
        <v>lenovo</v>
      </c>
      <c r="D48" s="37" t="str">
        <f aca="false">IFERROR(INDEX(Params!$B$5:$B$13,MATCH(C48,Params!$A$5:$A$13,0)),PROPER(C48))</f>
        <v>Lenovo</v>
      </c>
      <c r="E48" s="37" t="str">
        <f aca="false">IF(Raw!F48,"Available","Out of stock")</f>
        <v>Available</v>
      </c>
      <c r="F48" s="43" t="n">
        <f aca="false">IF(Raw!D48="","",Raw!D48)</f>
        <v>423500000</v>
      </c>
      <c r="G48" s="40" t="n">
        <f aca="false">IF(ISNUMBER(F48),F48/1000000,"")</f>
        <v>423.5</v>
      </c>
      <c r="H48" s="43" t="str">
        <f aca="false">IF(Raw!E48="","",Raw!E48)</f>
        <v/>
      </c>
      <c r="I48" s="42" t="n">
        <f aca="false">IF(AND(ISNUMBER(H48),ISNUMBER(F48)),IF(H48&gt;F48,(H48-F48)/H48,0),0)</f>
        <v>0</v>
      </c>
      <c r="J48" s="39" t="n">
        <f aca="false">IF(I48&gt;0,1,0)</f>
        <v>0</v>
      </c>
      <c r="K48" s="45" t="n">
        <f aca="false">Raw!G48</f>
        <v>5</v>
      </c>
      <c r="L48" s="39" t="n">
        <f aca="false">Raw!H48</f>
        <v>1</v>
      </c>
      <c r="M48" s="41" t="n">
        <f aca="false">IF(L48&gt;0,(L48*K48+p_m*p_c)/(L48+p_m),"")</f>
        <v>4.52272727272727</v>
      </c>
      <c r="N48" s="37" t="str">
        <f aca="false">IF(Raw!I48="","",TRIM(Raw!I48))</f>
        <v>Core i7 14700HX</v>
      </c>
      <c r="O48" s="37" t="str">
        <f aca="false">IF(N48="","Unknown",IF(LEFT(N48,5)="Apple","Apple",IF(LEFT(N48,5)="Ryzen","AMD","Intel")))</f>
        <v>Intel</v>
      </c>
      <c r="P48" s="37" t="str">
        <f aca="false">IF(N48="","Unknown",IF(LEFT(N48,5)="Apple","Apple Silicon",IF(LEFT(N48,8)="Ryzen AI","Ryzen AI",TRIM(LEFT(N48,7)))))</f>
        <v>Core i7</v>
      </c>
      <c r="Q48" s="39" t="n">
        <f aca="false">IFERROR(VALUE(LEFT(Raw!J48,FIND(" ",Raw!J48)-1)),"")</f>
        <v>16</v>
      </c>
      <c r="R48" s="37" t="str">
        <f aca="false">IF(NOT(ISNUMBER(Q48)),"Unknown",IF(Q48&lt;=8,"≤ 8 GB",IF(Q48&lt;=16,"12–16 GB","20 GB +")))</f>
        <v>12–16 GB</v>
      </c>
      <c r="S48" s="37" t="str">
        <f aca="false">IF(Raw!K48="","",IF(ISNUMBER(FIND(" و ",Raw!K48)),TRIM(MID(Raw!K48,FIND(" و ",Raw!K48)+3,100)),TRIM(Raw!K48)))</f>
        <v>1 ترابایت</v>
      </c>
      <c r="T48" s="43" t="n">
        <f aca="false">IF(S48="","",IFERROR(IFERROR(VALUE(LEFT(S48,FIND(" ",S48)-1)),VALUE(LEFT(S48,LEN(S48)-2)))*IF(OR(ISNUMBER(SEARCH("ترابایت",S48)),ISNUMBER(SEARCH("TB",S48))),1024,1),""))</f>
        <v>1024</v>
      </c>
      <c r="U48" s="37" t="str">
        <f aca="false">IF(NOT(ISNUMBER(T48)),"Unknown",IF(T48&lt;=256,"≤ 256 GB",IF(T48&lt;=512,"512 GB","1 TB +")))</f>
        <v>1 TB +</v>
      </c>
      <c r="V48" s="45" t="n">
        <f aca="false">IFERROR(VALUE(SUBSTITUTE(LEFT(Raw!L48,FIND(" ",Raw!L48)-1),".",MID(1/2,2,1))),"")</f>
        <v>15.6</v>
      </c>
      <c r="W48" s="41" t="n">
        <f aca="false">IFERROR(VALUE(SUBSTITUTE(LEFT(Raw!N48,FIND(" ",Raw!N48)-1),".",MID(1/2,2,1))),"")</f>
        <v>2.38</v>
      </c>
      <c r="X48" s="37" t="str">
        <f aca="false">IF(Raw!M48="","",TRIM(Raw!M48))</f>
        <v>NVIDIA GeForce RTX 5060</v>
      </c>
      <c r="Y48" s="37" t="str">
        <f aca="false">IF(X48="","Unknown",IF(ISNUMBER(SEARCH("nvidia",X48)),"NVIDIA",IF(ISNUMBER(SEARCH("amd",X48)),"AMD",IF(ISNUMBER(SEARCH("apple",X48)),"Apple",IF(ISNUMBER(SEARCH("intel",X48)),"Intel","Other")))))</f>
        <v>NVIDIA</v>
      </c>
      <c r="Z48" s="37" t="str">
        <f aca="false">IF(X48="","Unknown",IF(ISNUMBER(SEARCH("RTX",X48))+ISNUMBER(SEARCH("GTX",X48))+ISNUMBER(SEARCH("nvidia",X48))+ISNUMBER(SEARCH("Radeon RX",X48))&gt;0,"Dedicated","Integrated"))</f>
        <v>Dedicated</v>
      </c>
      <c r="AA48" s="37" t="str">
        <f aca="false">IF(ISNUMBER(SEARCH("RTX",X48)),TRIM(MID(X48,SEARCH("RTX",X48),8)),IF(X48="","Unknown",IF(Z48="Dedicated","Dedicated (model n/a)","Integrated")))</f>
        <v>RTX 5060</v>
      </c>
      <c r="AB48" s="37" t="str">
        <f aca="false">IF(ISNUMBER(G48),INDEX(Params!$E$5:$E$9,MATCH(G48,Params!$D$5:$D$9,1)),"Unknown")</f>
        <v>400 M +</v>
      </c>
      <c r="AC48" s="45" t="n">
        <f aca="false">IF(AND(ISNUMBER(G48),ISNUMBER(Q48)),IF(Q48&gt;0,G48/Q48,""),"")</f>
        <v>26.46875</v>
      </c>
      <c r="AD48" s="39" t="n">
        <f aca="false">IF(OR(p_excl=0,ISNUMBER(SEARCH("لپ",B48))),1,0)</f>
        <v>1</v>
      </c>
      <c r="AE48" s="39" t="n">
        <f aca="false">IF(AND(AD48=1,OR(fBrand="All",D48=fBrand),OR(fCPU="All",O48=fCPU),OR(fGPU="All",Z48=fGPU),OR(fTier="All",AB48=fTier),OR(fRAM="All",R48=fRAM)),1,0)</f>
        <v>1</v>
      </c>
      <c r="AF48" s="39" t="n">
        <f aca="false">IF(AND(AE48=1,ISNUMBER(G48)),1,0)</f>
        <v>1</v>
      </c>
      <c r="AG48" s="39" t="n">
        <f aca="false">IF(AND(AE48=1,L48&gt;0),1,0)</f>
        <v>1</v>
      </c>
      <c r="AH48" s="40" t="n">
        <f aca="false">IF(AF48=1,G48,"")</f>
        <v>423.5</v>
      </c>
      <c r="AI48" s="39" t="str">
        <f aca="false">IF(COUNTIF($D$2:D48,D48)=1,MAX($AI$1:AI47)+1,"")</f>
        <v/>
      </c>
      <c r="AJ48" s="39" t="str">
        <f aca="false">IF(COUNTIF($P$2:P48,P48)=1,MAX($AJ$1:AJ47)+1,"")</f>
        <v/>
      </c>
      <c r="AK48" s="47" t="n">
        <f aca="false">IF(AG48=1,M48+ROW()/1000000000,"")</f>
        <v>4.52272732072727</v>
      </c>
      <c r="AL48" s="47" t="str">
        <f aca="false">IF(AND(AE48=1,I48&gt;0),I48+ROW()/1000000000,"")</f>
        <v/>
      </c>
      <c r="AM48" s="39" t="n">
        <f aca="false">IF(AND(AF48=1,ISNUMBER(W48),Z48="Dedicated"),1,0)</f>
        <v>1</v>
      </c>
      <c r="AN48" s="39" t="n">
        <f aca="false">SUM($AM$2:AM48)</f>
        <v>13</v>
      </c>
      <c r="AO48" s="39" t="n">
        <f aca="false">IF(AND(AF48=1,ISNUMBER(W48),Z48&lt;&gt;"Dedicated"),1,0)</f>
        <v>0</v>
      </c>
      <c r="AP48" s="39" t="n">
        <f aca="false">SUM($AO$2:AO48)</f>
        <v>28</v>
      </c>
      <c r="AQ48" s="39" t="n">
        <f aca="false">IF(AND(AF48=1,AG48=1),1,0)</f>
        <v>1</v>
      </c>
      <c r="AR48" s="39" t="n">
        <f aca="false">SUM($AQ$2:AQ48)</f>
        <v>46</v>
      </c>
      <c r="AS48" s="45" t="n">
        <f aca="false">IF(AQ48=1,G48,0)</f>
        <v>423.5</v>
      </c>
      <c r="AT48" s="45" t="n">
        <f aca="false">IF(AQ48=1,K48,0)</f>
        <v>5</v>
      </c>
      <c r="AU48" s="37" t="str">
        <f aca="false">TRIM(IF(Raw!N48="","weight missing; ","")&amp;IF(Raw!K48="","storage missing; ","")&amp;IF(ISNUMBER(FIND(" و ",Raw!K48)),"dual storage - SSD part used; ","")&amp;IF(ISNUMBER(SEARCH("TB",Raw!K48)),"storage written as TB; ","")&amp;IF(Raw!I48="","cpu missing; ","")&amp;IF(Raw!M48="","gpu missing; ","")&amp;IF(Raw!J48="","ram missing; ","")&amp;IF(Raw!L48="","screen missing; ",""))</f>
        <v/>
      </c>
    </row>
    <row r="49" customFormat="false" ht="15" hidden="false" customHeight="false" outlineLevel="0" collapsed="false">
      <c r="A49" s="39" t="n">
        <f aca="false">Raw!A49</f>
        <v>134279</v>
      </c>
      <c r="B49" s="37" t="str">
        <f aca="false">Raw!B49</f>
        <v>لپ تاپ 15.6 اینچی اچ پی مدل Victus 15 FA2013DX i5 13420H 16GB 1TB RTX 3050</v>
      </c>
      <c r="C49" s="37" t="str">
        <f aca="false">LOWER(TRIM(Raw!C49))</f>
        <v>hp</v>
      </c>
      <c r="D49" s="37" t="str">
        <f aca="false">IFERROR(INDEX(Params!$B$5:$B$13,MATCH(C49,Params!$A$5:$A$13,0)),PROPER(C49))</f>
        <v>HP</v>
      </c>
      <c r="E49" s="37" t="str">
        <f aca="false">IF(Raw!F49,"Available","Out of stock")</f>
        <v>Available</v>
      </c>
      <c r="F49" s="43" t="n">
        <f aca="false">IF(Raw!D49="","",Raw!D49)</f>
        <v>250000000</v>
      </c>
      <c r="G49" s="40" t="n">
        <f aca="false">IF(ISNUMBER(F49),F49/1000000,"")</f>
        <v>250</v>
      </c>
      <c r="H49" s="43" t="str">
        <f aca="false">IF(Raw!E49="","",Raw!E49)</f>
        <v/>
      </c>
      <c r="I49" s="42" t="n">
        <f aca="false">IF(AND(ISNUMBER(H49),ISNUMBER(F49)),IF(H49&gt;F49,(H49-F49)/H49,0),0)</f>
        <v>0</v>
      </c>
      <c r="J49" s="39" t="n">
        <f aca="false">IF(I49&gt;0,1,0)</f>
        <v>0</v>
      </c>
      <c r="K49" s="45" t="n">
        <f aca="false">Raw!G49</f>
        <v>4.2</v>
      </c>
      <c r="L49" s="39" t="n">
        <f aca="false">Raw!H49</f>
        <v>25</v>
      </c>
      <c r="M49" s="41" t="n">
        <f aca="false">IF(L49&gt;0,(L49*K49+p_m*p_c)/(L49+p_m),"")</f>
        <v>4.27857142857143</v>
      </c>
      <c r="N49" s="37" t="str">
        <f aca="false">IF(Raw!I49="","",TRIM(Raw!I49))</f>
        <v>Core i5 13420H</v>
      </c>
      <c r="O49" s="37" t="str">
        <f aca="false">IF(N49="","Unknown",IF(LEFT(N49,5)="Apple","Apple",IF(LEFT(N49,5)="Ryzen","AMD","Intel")))</f>
        <v>Intel</v>
      </c>
      <c r="P49" s="37" t="str">
        <f aca="false">IF(N49="","Unknown",IF(LEFT(N49,5)="Apple","Apple Silicon",IF(LEFT(N49,8)="Ryzen AI","Ryzen AI",TRIM(LEFT(N49,7)))))</f>
        <v>Core i5</v>
      </c>
      <c r="Q49" s="39" t="n">
        <f aca="false">IFERROR(VALUE(LEFT(Raw!J49,FIND(" ",Raw!J49)-1)),"")</f>
        <v>16</v>
      </c>
      <c r="R49" s="37" t="str">
        <f aca="false">IF(NOT(ISNUMBER(Q49)),"Unknown",IF(Q49&lt;=8,"≤ 8 GB",IF(Q49&lt;=16,"12–16 GB","20 GB +")))</f>
        <v>12–16 GB</v>
      </c>
      <c r="S49" s="37" t="str">
        <f aca="false">IF(Raw!K49="","",IF(ISNUMBER(FIND(" و ",Raw!K49)),TRIM(MID(Raw!K49,FIND(" و ",Raw!K49)+3,100)),TRIM(Raw!K49)))</f>
        <v>1 ترابایت</v>
      </c>
      <c r="T49" s="43" t="n">
        <f aca="false">IF(S49="","",IFERROR(IFERROR(VALUE(LEFT(S49,FIND(" ",S49)-1)),VALUE(LEFT(S49,LEN(S49)-2)))*IF(OR(ISNUMBER(SEARCH("ترابایت",S49)),ISNUMBER(SEARCH("TB",S49))),1024,1),""))</f>
        <v>1024</v>
      </c>
      <c r="U49" s="37" t="str">
        <f aca="false">IF(NOT(ISNUMBER(T49)),"Unknown",IF(T49&lt;=256,"≤ 256 GB",IF(T49&lt;=512,"512 GB","1 TB +")))</f>
        <v>1 TB +</v>
      </c>
      <c r="V49" s="45" t="n">
        <f aca="false">IFERROR(VALUE(SUBSTITUTE(LEFT(Raw!L49,FIND(" ",Raw!L49)-1),".",MID(1/2,2,1))),"")</f>
        <v>15.6</v>
      </c>
      <c r="W49" s="41" t="n">
        <f aca="false">IFERROR(VALUE(SUBSTITUTE(LEFT(Raw!N49,FIND(" ",Raw!N49)-1),".",MID(1/2,2,1))),"")</f>
        <v>2.2</v>
      </c>
      <c r="X49" s="37" t="str">
        <f aca="false">IF(Raw!M49="","",TRIM(Raw!M49))</f>
        <v>NVIDIA GeForce RTX 3050</v>
      </c>
      <c r="Y49" s="37" t="str">
        <f aca="false">IF(X49="","Unknown",IF(ISNUMBER(SEARCH("nvidia",X49)),"NVIDIA",IF(ISNUMBER(SEARCH("amd",X49)),"AMD",IF(ISNUMBER(SEARCH("apple",X49)),"Apple",IF(ISNUMBER(SEARCH("intel",X49)),"Intel","Other")))))</f>
        <v>NVIDIA</v>
      </c>
      <c r="Z49" s="37" t="str">
        <f aca="false">IF(X49="","Unknown",IF(ISNUMBER(SEARCH("RTX",X49))+ISNUMBER(SEARCH("GTX",X49))+ISNUMBER(SEARCH("nvidia",X49))+ISNUMBER(SEARCH("Radeon RX",X49))&gt;0,"Dedicated","Integrated"))</f>
        <v>Dedicated</v>
      </c>
      <c r="AA49" s="37" t="str">
        <f aca="false">IF(ISNUMBER(SEARCH("RTX",X49)),TRIM(MID(X49,SEARCH("RTX",X49),8)),IF(X49="","Unknown",IF(Z49="Dedicated","Dedicated (model n/a)","Integrated")))</f>
        <v>RTX 3050</v>
      </c>
      <c r="AB49" s="37" t="str">
        <f aca="false">IF(ISNUMBER(G49),INDEX(Params!$E$5:$E$9,MATCH(G49,Params!$D$5:$D$9,1)),"Unknown")</f>
        <v>200–300 M</v>
      </c>
      <c r="AC49" s="45" t="n">
        <f aca="false">IF(AND(ISNUMBER(G49),ISNUMBER(Q49)),IF(Q49&gt;0,G49/Q49,""),"")</f>
        <v>15.625</v>
      </c>
      <c r="AD49" s="39" t="n">
        <f aca="false">IF(OR(p_excl=0,ISNUMBER(SEARCH("لپ",B49))),1,0)</f>
        <v>1</v>
      </c>
      <c r="AE49" s="39" t="n">
        <f aca="false">IF(AND(AD49=1,OR(fBrand="All",D49=fBrand),OR(fCPU="All",O49=fCPU),OR(fGPU="All",Z49=fGPU),OR(fTier="All",AB49=fTier),OR(fRAM="All",R49=fRAM)),1,0)</f>
        <v>1</v>
      </c>
      <c r="AF49" s="39" t="n">
        <f aca="false">IF(AND(AE49=1,ISNUMBER(G49)),1,0)</f>
        <v>1</v>
      </c>
      <c r="AG49" s="39" t="n">
        <f aca="false">IF(AND(AE49=1,L49&gt;0),1,0)</f>
        <v>1</v>
      </c>
      <c r="AH49" s="40" t="n">
        <f aca="false">IF(AF49=1,G49,"")</f>
        <v>250</v>
      </c>
      <c r="AI49" s="39" t="str">
        <f aca="false">IF(COUNTIF($D$2:D49,D49)=1,MAX($AI$1:AI48)+1,"")</f>
        <v/>
      </c>
      <c r="AJ49" s="39" t="str">
        <f aca="false">IF(COUNTIF($P$2:P49,P49)=1,MAX($AJ$1:AJ48)+1,"")</f>
        <v/>
      </c>
      <c r="AK49" s="47" t="n">
        <f aca="false">IF(AG49=1,M49+ROW()/1000000000,"")</f>
        <v>4.27857147757143</v>
      </c>
      <c r="AL49" s="47" t="str">
        <f aca="false">IF(AND(AE49=1,I49&gt;0),I49+ROW()/1000000000,"")</f>
        <v/>
      </c>
      <c r="AM49" s="39" t="n">
        <f aca="false">IF(AND(AF49=1,ISNUMBER(W49),Z49="Dedicated"),1,0)</f>
        <v>1</v>
      </c>
      <c r="AN49" s="39" t="n">
        <f aca="false">SUM($AM$2:AM49)</f>
        <v>14</v>
      </c>
      <c r="AO49" s="39" t="n">
        <f aca="false">IF(AND(AF49=1,ISNUMBER(W49),Z49&lt;&gt;"Dedicated"),1,0)</f>
        <v>0</v>
      </c>
      <c r="AP49" s="39" t="n">
        <f aca="false">SUM($AO$2:AO49)</f>
        <v>28</v>
      </c>
      <c r="AQ49" s="39" t="n">
        <f aca="false">IF(AND(AF49=1,AG49=1),1,0)</f>
        <v>1</v>
      </c>
      <c r="AR49" s="39" t="n">
        <f aca="false">SUM($AQ$2:AQ49)</f>
        <v>47</v>
      </c>
      <c r="AS49" s="45" t="n">
        <f aca="false">IF(AQ49=1,G49,0)</f>
        <v>250</v>
      </c>
      <c r="AT49" s="45" t="n">
        <f aca="false">IF(AQ49=1,K49,0)</f>
        <v>4.2</v>
      </c>
      <c r="AU49" s="37" t="str">
        <f aca="false">TRIM(IF(Raw!N49="","weight missing; ","")&amp;IF(Raw!K49="","storage missing; ","")&amp;IF(ISNUMBER(FIND(" و ",Raw!K49)),"dual storage - SSD part used; ","")&amp;IF(ISNUMBER(SEARCH("TB",Raw!K49)),"storage written as TB; ","")&amp;IF(Raw!I49="","cpu missing; ","")&amp;IF(Raw!M49="","gpu missing; ","")&amp;IF(Raw!J49="","ram missing; ","")&amp;IF(Raw!L49="","screen missing; ",""))</f>
        <v/>
      </c>
    </row>
    <row r="50" customFormat="false" ht="15" hidden="false" customHeight="false" outlineLevel="0" collapsed="false">
      <c r="A50" s="39" t="n">
        <f aca="false">Raw!A50</f>
        <v>107599</v>
      </c>
      <c r="B50" s="37" t="str">
        <f aca="false">Raw!B50</f>
        <v>لپ تاپ 15.6 اینچی لنوو مدل IdeaPad 1 15IJL7 Celeron N4500 16GB 256GB</v>
      </c>
      <c r="C50" s="37" t="str">
        <f aca="false">LOWER(TRIM(Raw!C50))</f>
        <v>lenovo</v>
      </c>
      <c r="D50" s="37" t="str">
        <f aca="false">IFERROR(INDEX(Params!$B$5:$B$13,MATCH(C50,Params!$A$5:$A$13,0)),PROPER(C50))</f>
        <v>Lenovo</v>
      </c>
      <c r="E50" s="37" t="str">
        <f aca="false">IF(Raw!F50,"Available","Out of stock")</f>
        <v>Available</v>
      </c>
      <c r="F50" s="43" t="n">
        <f aca="false">IF(Raw!D50="","",Raw!D50)</f>
        <v>117000000</v>
      </c>
      <c r="G50" s="40" t="n">
        <f aca="false">IF(ISNUMBER(F50),F50/1000000,"")</f>
        <v>117</v>
      </c>
      <c r="H50" s="43" t="str">
        <f aca="false">IF(Raw!E50="","",Raw!E50)</f>
        <v/>
      </c>
      <c r="I50" s="42" t="n">
        <f aca="false">IF(AND(ISNUMBER(H50),ISNUMBER(F50)),IF(H50&gt;F50,(H50-F50)/H50,0),0)</f>
        <v>0</v>
      </c>
      <c r="J50" s="39" t="n">
        <f aca="false">IF(I50&gt;0,1,0)</f>
        <v>0</v>
      </c>
      <c r="K50" s="45" t="n">
        <f aca="false">Raw!G50</f>
        <v>4</v>
      </c>
      <c r="L50" s="39" t="n">
        <f aca="false">Raw!H50</f>
        <v>21</v>
      </c>
      <c r="M50" s="41" t="n">
        <f aca="false">IF(L50&gt;0,(L50*K50+p_m*p_c)/(L50+p_m),"")</f>
        <v>4.15322580645161</v>
      </c>
      <c r="N50" s="37" t="str">
        <f aca="false">IF(Raw!I50="","",TRIM(Raw!I50))</f>
        <v>Celeron N4500</v>
      </c>
      <c r="O50" s="37" t="str">
        <f aca="false">IF(N50="","Unknown",IF(LEFT(N50,5)="Apple","Apple",IF(LEFT(N50,5)="Ryzen","AMD","Intel")))</f>
        <v>Intel</v>
      </c>
      <c r="P50" s="37" t="str">
        <f aca="false">IF(N50="","Unknown",IF(LEFT(N50,5)="Apple","Apple Silicon",IF(LEFT(N50,8)="Ryzen AI","Ryzen AI",TRIM(LEFT(N50,7)))))</f>
        <v>Celeron</v>
      </c>
      <c r="Q50" s="39" t="n">
        <f aca="false">IFERROR(VALUE(LEFT(Raw!J50,FIND(" ",Raw!J50)-1)),"")</f>
        <v>16</v>
      </c>
      <c r="R50" s="37" t="str">
        <f aca="false">IF(NOT(ISNUMBER(Q50)),"Unknown",IF(Q50&lt;=8,"≤ 8 GB",IF(Q50&lt;=16,"12–16 GB","20 GB +")))</f>
        <v>12–16 GB</v>
      </c>
      <c r="S50" s="37" t="str">
        <f aca="false">IF(Raw!K50="","",IF(ISNUMBER(FIND(" و ",Raw!K50)),TRIM(MID(Raw!K50,FIND(" و ",Raw!K50)+3,100)),TRIM(Raw!K50)))</f>
        <v>256 گیگابایت</v>
      </c>
      <c r="T50" s="43" t="n">
        <f aca="false">IF(S50="","",IFERROR(IFERROR(VALUE(LEFT(S50,FIND(" ",S50)-1)),VALUE(LEFT(S50,LEN(S50)-2)))*IF(OR(ISNUMBER(SEARCH("ترابایت",S50)),ISNUMBER(SEARCH("TB",S50))),1024,1),""))</f>
        <v>256</v>
      </c>
      <c r="U50" s="37" t="str">
        <f aca="false">IF(NOT(ISNUMBER(T50)),"Unknown",IF(T50&lt;=256,"≤ 256 GB",IF(T50&lt;=512,"512 GB","1 TB +")))</f>
        <v>≤ 256 GB</v>
      </c>
      <c r="V50" s="45" t="n">
        <f aca="false">IFERROR(VALUE(SUBSTITUTE(LEFT(Raw!L50,FIND(" ",Raw!L50)-1),".",MID(1/2,2,1))),"")</f>
        <v>15.6</v>
      </c>
      <c r="W50" s="41" t="n">
        <f aca="false">IFERROR(VALUE(SUBSTITUTE(LEFT(Raw!N50,FIND(" ",Raw!N50)-1),".",MID(1/2,2,1))),"")</f>
        <v>1.55</v>
      </c>
      <c r="X50" s="37" t="str">
        <f aca="false">IF(Raw!M50="","",TRIM(Raw!M50))</f>
        <v>Intel UHD Graphics</v>
      </c>
      <c r="Y50" s="37" t="str">
        <f aca="false">IF(X50="","Unknown",IF(ISNUMBER(SEARCH("nvidia",X50)),"NVIDIA",IF(ISNUMBER(SEARCH("amd",X50)),"AMD",IF(ISNUMBER(SEARCH("apple",X50)),"Apple",IF(ISNUMBER(SEARCH("intel",X50)),"Intel","Other")))))</f>
        <v>Intel</v>
      </c>
      <c r="Z50" s="37" t="str">
        <f aca="false">IF(X50="","Unknown",IF(ISNUMBER(SEARCH("RTX",X50))+ISNUMBER(SEARCH("GTX",X50))+ISNUMBER(SEARCH("nvidia",X50))+ISNUMBER(SEARCH("Radeon RX",X50))&gt;0,"Dedicated","Integrated"))</f>
        <v>Integrated</v>
      </c>
      <c r="AA50" s="37" t="str">
        <f aca="false">IF(ISNUMBER(SEARCH("RTX",X50)),TRIM(MID(X50,SEARCH("RTX",X50),8)),IF(X50="","Unknown",IF(Z50="Dedicated","Dedicated (model n/a)","Integrated")))</f>
        <v>Integrated</v>
      </c>
      <c r="AB50" s="37" t="str">
        <f aca="false">IF(ISNUMBER(G50),INDEX(Params!$E$5:$E$9,MATCH(G50,Params!$D$5:$D$9,1)),"Unknown")</f>
        <v>100–200 M</v>
      </c>
      <c r="AC50" s="45" t="n">
        <f aca="false">IF(AND(ISNUMBER(G50),ISNUMBER(Q50)),IF(Q50&gt;0,G50/Q50,""),"")</f>
        <v>7.3125</v>
      </c>
      <c r="AD50" s="39" t="n">
        <f aca="false">IF(OR(p_excl=0,ISNUMBER(SEARCH("لپ",B50))),1,0)</f>
        <v>1</v>
      </c>
      <c r="AE50" s="39" t="n">
        <f aca="false">IF(AND(AD50=1,OR(fBrand="All",D50=fBrand),OR(fCPU="All",O50=fCPU),OR(fGPU="All",Z50=fGPU),OR(fTier="All",AB50=fTier),OR(fRAM="All",R50=fRAM)),1,0)</f>
        <v>1</v>
      </c>
      <c r="AF50" s="39" t="n">
        <f aca="false">IF(AND(AE50=1,ISNUMBER(G50)),1,0)</f>
        <v>1</v>
      </c>
      <c r="AG50" s="39" t="n">
        <f aca="false">IF(AND(AE50=1,L50&gt;0),1,0)</f>
        <v>1</v>
      </c>
      <c r="AH50" s="40" t="n">
        <f aca="false">IF(AF50=1,G50,"")</f>
        <v>117</v>
      </c>
      <c r="AI50" s="39" t="str">
        <f aca="false">IF(COUNTIF($D$2:D50,D50)=1,MAX($AI$1:AI49)+1,"")</f>
        <v/>
      </c>
      <c r="AJ50" s="39" t="str">
        <f aca="false">IF(COUNTIF($P$2:P50,P50)=1,MAX($AJ$1:AJ49)+1,"")</f>
        <v/>
      </c>
      <c r="AK50" s="47" t="n">
        <f aca="false">IF(AG50=1,M50+ROW()/1000000000,"")</f>
        <v>4.15322585645161</v>
      </c>
      <c r="AL50" s="47" t="str">
        <f aca="false">IF(AND(AE50=1,I50&gt;0),I50+ROW()/1000000000,"")</f>
        <v/>
      </c>
      <c r="AM50" s="39" t="n">
        <f aca="false">IF(AND(AF50=1,ISNUMBER(W50),Z50="Dedicated"),1,0)</f>
        <v>0</v>
      </c>
      <c r="AN50" s="39" t="n">
        <f aca="false">SUM($AM$2:AM50)</f>
        <v>14</v>
      </c>
      <c r="AO50" s="39" t="n">
        <f aca="false">IF(AND(AF50=1,ISNUMBER(W50),Z50&lt;&gt;"Dedicated"),1,0)</f>
        <v>1</v>
      </c>
      <c r="AP50" s="39" t="n">
        <f aca="false">SUM($AO$2:AO50)</f>
        <v>29</v>
      </c>
      <c r="AQ50" s="39" t="n">
        <f aca="false">IF(AND(AF50=1,AG50=1),1,0)</f>
        <v>1</v>
      </c>
      <c r="AR50" s="39" t="n">
        <f aca="false">SUM($AQ$2:AQ50)</f>
        <v>48</v>
      </c>
      <c r="AS50" s="45" t="n">
        <f aca="false">IF(AQ50=1,G50,0)</f>
        <v>117</v>
      </c>
      <c r="AT50" s="45" t="n">
        <f aca="false">IF(AQ50=1,K50,0)</f>
        <v>4</v>
      </c>
      <c r="AU50" s="37" t="str">
        <f aca="false">TRIM(IF(Raw!N50="","weight missing; ","")&amp;IF(Raw!K50="","storage missing; ","")&amp;IF(ISNUMBER(FIND(" و ",Raw!K50)),"dual storage - SSD part used; ","")&amp;IF(ISNUMBER(SEARCH("TB",Raw!K50)),"storage written as TB; ","")&amp;IF(Raw!I50="","cpu missing; ","")&amp;IF(Raw!M50="","gpu missing; ","")&amp;IF(Raw!J50="","ram missing; ","")&amp;IF(Raw!L50="","screen missing; ",""))</f>
        <v/>
      </c>
    </row>
    <row r="51" customFormat="false" ht="15" hidden="false" customHeight="false" outlineLevel="0" collapsed="false">
      <c r="A51" s="39" t="n">
        <f aca="false">Raw!A51</f>
        <v>107598</v>
      </c>
      <c r="B51" s="37" t="str">
        <f aca="false">Raw!B51</f>
        <v>لپ تاپ 15.6 اینچی لنوو مدل IdeaPad 1 15IJL7 Celeron N4500 8GB 1TB</v>
      </c>
      <c r="C51" s="37" t="str">
        <f aca="false">LOWER(TRIM(Raw!C51))</f>
        <v>lenovo</v>
      </c>
      <c r="D51" s="37" t="str">
        <f aca="false">IFERROR(INDEX(Params!$B$5:$B$13,MATCH(C51,Params!$A$5:$A$13,0)),PROPER(C51))</f>
        <v>Lenovo</v>
      </c>
      <c r="E51" s="37" t="str">
        <f aca="false">IF(Raw!F51,"Available","Out of stock")</f>
        <v>Available</v>
      </c>
      <c r="F51" s="43" t="n">
        <f aca="false">IF(Raw!D51="","",Raw!D51)</f>
        <v>121000000</v>
      </c>
      <c r="G51" s="40" t="n">
        <f aca="false">IF(ISNUMBER(F51),F51/1000000,"")</f>
        <v>121</v>
      </c>
      <c r="H51" s="43" t="str">
        <f aca="false">IF(Raw!E51="","",Raw!E51)</f>
        <v/>
      </c>
      <c r="I51" s="42" t="n">
        <f aca="false">IF(AND(ISNUMBER(H51),ISNUMBER(F51)),IF(H51&gt;F51,(H51-F51)/H51,0),0)</f>
        <v>0</v>
      </c>
      <c r="J51" s="39" t="n">
        <f aca="false">IF(I51&gt;0,1,0)</f>
        <v>0</v>
      </c>
      <c r="K51" s="45" t="n">
        <f aca="false">Raw!G51</f>
        <v>3.8</v>
      </c>
      <c r="L51" s="39" t="n">
        <f aca="false">Raw!H51</f>
        <v>19</v>
      </c>
      <c r="M51" s="41" t="n">
        <f aca="false">IF(L51&gt;0,(L51*K51+p_m*p_c)/(L51+p_m),"")</f>
        <v>4.03275862068966</v>
      </c>
      <c r="N51" s="37" t="str">
        <f aca="false">IF(Raw!I51="","",TRIM(Raw!I51))</f>
        <v>Celeron N4500</v>
      </c>
      <c r="O51" s="37" t="str">
        <f aca="false">IF(N51="","Unknown",IF(LEFT(N51,5)="Apple","Apple",IF(LEFT(N51,5)="Ryzen","AMD","Intel")))</f>
        <v>Intel</v>
      </c>
      <c r="P51" s="37" t="str">
        <f aca="false">IF(N51="","Unknown",IF(LEFT(N51,5)="Apple","Apple Silicon",IF(LEFT(N51,8)="Ryzen AI","Ryzen AI",TRIM(LEFT(N51,7)))))</f>
        <v>Celeron</v>
      </c>
      <c r="Q51" s="39" t="n">
        <f aca="false">IFERROR(VALUE(LEFT(Raw!J51,FIND(" ",Raw!J51)-1)),"")</f>
        <v>8</v>
      </c>
      <c r="R51" s="37" t="str">
        <f aca="false">IF(NOT(ISNUMBER(Q51)),"Unknown",IF(Q51&lt;=8,"≤ 8 GB",IF(Q51&lt;=16,"12–16 GB","20 GB +")))</f>
        <v>≤ 8 GB</v>
      </c>
      <c r="S51" s="37" t="str">
        <f aca="false">IF(Raw!K51="","",IF(ISNUMBER(FIND(" و ",Raw!K51)),TRIM(MID(Raw!K51,FIND(" و ",Raw!K51)+3,100)),TRIM(Raw!K51)))</f>
        <v>1 ترابایت</v>
      </c>
      <c r="T51" s="43" t="n">
        <f aca="false">IF(S51="","",IFERROR(IFERROR(VALUE(LEFT(S51,FIND(" ",S51)-1)),VALUE(LEFT(S51,LEN(S51)-2)))*IF(OR(ISNUMBER(SEARCH("ترابایت",S51)),ISNUMBER(SEARCH("TB",S51))),1024,1),""))</f>
        <v>1024</v>
      </c>
      <c r="U51" s="37" t="str">
        <f aca="false">IF(NOT(ISNUMBER(T51)),"Unknown",IF(T51&lt;=256,"≤ 256 GB",IF(T51&lt;=512,"512 GB","1 TB +")))</f>
        <v>1 TB +</v>
      </c>
      <c r="V51" s="45" t="n">
        <f aca="false">IFERROR(VALUE(SUBSTITUTE(LEFT(Raw!L51,FIND(" ",Raw!L51)-1),".",MID(1/2,2,1))),"")</f>
        <v>15.6</v>
      </c>
      <c r="W51" s="41" t="n">
        <f aca="false">IFERROR(VALUE(SUBSTITUTE(LEFT(Raw!N51,FIND(" ",Raw!N51)-1),".",MID(1/2,2,1))),"")</f>
        <v>1.55</v>
      </c>
      <c r="X51" s="37" t="str">
        <f aca="false">IF(Raw!M51="","",TRIM(Raw!M51))</f>
        <v>Intel UHD Graphics</v>
      </c>
      <c r="Y51" s="37" t="str">
        <f aca="false">IF(X51="","Unknown",IF(ISNUMBER(SEARCH("nvidia",X51)),"NVIDIA",IF(ISNUMBER(SEARCH("amd",X51)),"AMD",IF(ISNUMBER(SEARCH("apple",X51)),"Apple",IF(ISNUMBER(SEARCH("intel",X51)),"Intel","Other")))))</f>
        <v>Intel</v>
      </c>
      <c r="Z51" s="37" t="str">
        <f aca="false">IF(X51="","Unknown",IF(ISNUMBER(SEARCH("RTX",X51))+ISNUMBER(SEARCH("GTX",X51))+ISNUMBER(SEARCH("nvidia",X51))+ISNUMBER(SEARCH("Radeon RX",X51))&gt;0,"Dedicated","Integrated"))</f>
        <v>Integrated</v>
      </c>
      <c r="AA51" s="37" t="str">
        <f aca="false">IF(ISNUMBER(SEARCH("RTX",X51)),TRIM(MID(X51,SEARCH("RTX",X51),8)),IF(X51="","Unknown",IF(Z51="Dedicated","Dedicated (model n/a)","Integrated")))</f>
        <v>Integrated</v>
      </c>
      <c r="AB51" s="37" t="str">
        <f aca="false">IF(ISNUMBER(G51),INDEX(Params!$E$5:$E$9,MATCH(G51,Params!$D$5:$D$9,1)),"Unknown")</f>
        <v>100–200 M</v>
      </c>
      <c r="AC51" s="45" t="n">
        <f aca="false">IF(AND(ISNUMBER(G51),ISNUMBER(Q51)),IF(Q51&gt;0,G51/Q51,""),"")</f>
        <v>15.125</v>
      </c>
      <c r="AD51" s="39" t="n">
        <f aca="false">IF(OR(p_excl=0,ISNUMBER(SEARCH("لپ",B51))),1,0)</f>
        <v>1</v>
      </c>
      <c r="AE51" s="39" t="n">
        <f aca="false">IF(AND(AD51=1,OR(fBrand="All",D51=fBrand),OR(fCPU="All",O51=fCPU),OR(fGPU="All",Z51=fGPU),OR(fTier="All",AB51=fTier),OR(fRAM="All",R51=fRAM)),1,0)</f>
        <v>1</v>
      </c>
      <c r="AF51" s="39" t="n">
        <f aca="false">IF(AND(AE51=1,ISNUMBER(G51)),1,0)</f>
        <v>1</v>
      </c>
      <c r="AG51" s="39" t="n">
        <f aca="false">IF(AND(AE51=1,L51&gt;0),1,0)</f>
        <v>1</v>
      </c>
      <c r="AH51" s="40" t="n">
        <f aca="false">IF(AF51=1,G51,"")</f>
        <v>121</v>
      </c>
      <c r="AI51" s="39" t="str">
        <f aca="false">IF(COUNTIF($D$2:D51,D51)=1,MAX($AI$1:AI50)+1,"")</f>
        <v/>
      </c>
      <c r="AJ51" s="39" t="str">
        <f aca="false">IF(COUNTIF($P$2:P51,P51)=1,MAX($AJ$1:AJ50)+1,"")</f>
        <v/>
      </c>
      <c r="AK51" s="47" t="n">
        <f aca="false">IF(AG51=1,M51+ROW()/1000000000,"")</f>
        <v>4.03275867168966</v>
      </c>
      <c r="AL51" s="47" t="str">
        <f aca="false">IF(AND(AE51=1,I51&gt;0),I51+ROW()/1000000000,"")</f>
        <v/>
      </c>
      <c r="AM51" s="39" t="n">
        <f aca="false">IF(AND(AF51=1,ISNUMBER(W51),Z51="Dedicated"),1,0)</f>
        <v>0</v>
      </c>
      <c r="AN51" s="39" t="n">
        <f aca="false">SUM($AM$2:AM51)</f>
        <v>14</v>
      </c>
      <c r="AO51" s="39" t="n">
        <f aca="false">IF(AND(AF51=1,ISNUMBER(W51),Z51&lt;&gt;"Dedicated"),1,0)</f>
        <v>1</v>
      </c>
      <c r="AP51" s="39" t="n">
        <f aca="false">SUM($AO$2:AO51)</f>
        <v>30</v>
      </c>
      <c r="AQ51" s="39" t="n">
        <f aca="false">IF(AND(AF51=1,AG51=1),1,0)</f>
        <v>1</v>
      </c>
      <c r="AR51" s="39" t="n">
        <f aca="false">SUM($AQ$2:AQ51)</f>
        <v>49</v>
      </c>
      <c r="AS51" s="45" t="n">
        <f aca="false">IF(AQ51=1,G51,0)</f>
        <v>121</v>
      </c>
      <c r="AT51" s="45" t="n">
        <f aca="false">IF(AQ51=1,K51,0)</f>
        <v>3.8</v>
      </c>
      <c r="AU51" s="37" t="str">
        <f aca="false">TRIM(IF(Raw!N51="","weight missing; ","")&amp;IF(Raw!K51="","storage missing; ","")&amp;IF(ISNUMBER(FIND(" و ",Raw!K51)),"dual storage - SSD part used; ","")&amp;IF(ISNUMBER(SEARCH("TB",Raw!K51)),"storage written as TB; ","")&amp;IF(Raw!I51="","cpu missing; ","")&amp;IF(Raw!M51="","gpu missing; ","")&amp;IF(Raw!J51="","ram missing; ","")&amp;IF(Raw!L51="","screen missing; ",""))</f>
        <v/>
      </c>
    </row>
    <row r="52" customFormat="false" ht="15" hidden="false" customHeight="false" outlineLevel="0" collapsed="false">
      <c r="A52" s="39" t="n">
        <f aca="false">Raw!A52</f>
        <v>107597</v>
      </c>
      <c r="B52" s="37" t="str">
        <f aca="false">Raw!B52</f>
        <v>لپ تاپ 15.6 اینچی لنوو مدل IdeaPad 1 15IJL7 Celeron N4500 8GB 512GB</v>
      </c>
      <c r="C52" s="37" t="str">
        <f aca="false">LOWER(TRIM(Raw!C52))</f>
        <v>lenovo</v>
      </c>
      <c r="D52" s="37" t="str">
        <f aca="false">IFERROR(INDEX(Params!$B$5:$B$13,MATCH(C52,Params!$A$5:$A$13,0)),PROPER(C52))</f>
        <v>Lenovo</v>
      </c>
      <c r="E52" s="37" t="str">
        <f aca="false">IF(Raw!F52,"Available","Out of stock")</f>
        <v>Available</v>
      </c>
      <c r="F52" s="43" t="n">
        <f aca="false">IF(Raw!D52="","",Raw!D52)</f>
        <v>107900000</v>
      </c>
      <c r="G52" s="40" t="n">
        <f aca="false">IF(ISNUMBER(F52),F52/1000000,"")</f>
        <v>107.9</v>
      </c>
      <c r="H52" s="43" t="str">
        <f aca="false">IF(Raw!E52="","",Raw!E52)</f>
        <v/>
      </c>
      <c r="I52" s="42" t="n">
        <f aca="false">IF(AND(ISNUMBER(H52),ISNUMBER(F52)),IF(H52&gt;F52,(H52-F52)/H52,0),0)</f>
        <v>0</v>
      </c>
      <c r="J52" s="39" t="n">
        <f aca="false">IF(I52&gt;0,1,0)</f>
        <v>0</v>
      </c>
      <c r="K52" s="45" t="n">
        <f aca="false">Raw!G52</f>
        <v>3.8</v>
      </c>
      <c r="L52" s="39" t="n">
        <f aca="false">Raw!H52</f>
        <v>21</v>
      </c>
      <c r="M52" s="41" t="n">
        <f aca="false">IF(L52&gt;0,(L52*K52+p_m*p_c)/(L52+p_m),"")</f>
        <v>4.01774193548387</v>
      </c>
      <c r="N52" s="37" t="str">
        <f aca="false">IF(Raw!I52="","",TRIM(Raw!I52))</f>
        <v>Celeron N4500</v>
      </c>
      <c r="O52" s="37" t="str">
        <f aca="false">IF(N52="","Unknown",IF(LEFT(N52,5)="Apple","Apple",IF(LEFT(N52,5)="Ryzen","AMD","Intel")))</f>
        <v>Intel</v>
      </c>
      <c r="P52" s="37" t="str">
        <f aca="false">IF(N52="","Unknown",IF(LEFT(N52,5)="Apple","Apple Silicon",IF(LEFT(N52,8)="Ryzen AI","Ryzen AI",TRIM(LEFT(N52,7)))))</f>
        <v>Celeron</v>
      </c>
      <c r="Q52" s="39" t="n">
        <f aca="false">IFERROR(VALUE(LEFT(Raw!J52,FIND(" ",Raw!J52)-1)),"")</f>
        <v>8</v>
      </c>
      <c r="R52" s="37" t="str">
        <f aca="false">IF(NOT(ISNUMBER(Q52)),"Unknown",IF(Q52&lt;=8,"≤ 8 GB",IF(Q52&lt;=16,"12–16 GB","20 GB +")))</f>
        <v>≤ 8 GB</v>
      </c>
      <c r="S52" s="37" t="str">
        <f aca="false">IF(Raw!K52="","",IF(ISNUMBER(FIND(" و ",Raw!K52)),TRIM(MID(Raw!K52,FIND(" و ",Raw!K52)+3,100)),TRIM(Raw!K52)))</f>
        <v>512 گیگابایت</v>
      </c>
      <c r="T52" s="43" t="n">
        <f aca="false">IF(S52="","",IFERROR(IFERROR(VALUE(LEFT(S52,FIND(" ",S52)-1)),VALUE(LEFT(S52,LEN(S52)-2)))*IF(OR(ISNUMBER(SEARCH("ترابایت",S52)),ISNUMBER(SEARCH("TB",S52))),1024,1),""))</f>
        <v>512</v>
      </c>
      <c r="U52" s="37" t="str">
        <f aca="false">IF(NOT(ISNUMBER(T52)),"Unknown",IF(T52&lt;=256,"≤ 256 GB",IF(T52&lt;=512,"512 GB","1 TB +")))</f>
        <v>512 GB</v>
      </c>
      <c r="V52" s="45" t="n">
        <f aca="false">IFERROR(VALUE(SUBSTITUTE(LEFT(Raw!L52,FIND(" ",Raw!L52)-1),".",MID(1/2,2,1))),"")</f>
        <v>15.6</v>
      </c>
      <c r="W52" s="41" t="n">
        <f aca="false">IFERROR(VALUE(SUBSTITUTE(LEFT(Raw!N52,FIND(" ",Raw!N52)-1),".",MID(1/2,2,1))),"")</f>
        <v>1.55</v>
      </c>
      <c r="X52" s="37" t="str">
        <f aca="false">IF(Raw!M52="","",TRIM(Raw!M52))</f>
        <v>Intel UHD Graphics</v>
      </c>
      <c r="Y52" s="37" t="str">
        <f aca="false">IF(X52="","Unknown",IF(ISNUMBER(SEARCH("nvidia",X52)),"NVIDIA",IF(ISNUMBER(SEARCH("amd",X52)),"AMD",IF(ISNUMBER(SEARCH("apple",X52)),"Apple",IF(ISNUMBER(SEARCH("intel",X52)),"Intel","Other")))))</f>
        <v>Intel</v>
      </c>
      <c r="Z52" s="37" t="str">
        <f aca="false">IF(X52="","Unknown",IF(ISNUMBER(SEARCH("RTX",X52))+ISNUMBER(SEARCH("GTX",X52))+ISNUMBER(SEARCH("nvidia",X52))+ISNUMBER(SEARCH("Radeon RX",X52))&gt;0,"Dedicated","Integrated"))</f>
        <v>Integrated</v>
      </c>
      <c r="AA52" s="37" t="str">
        <f aca="false">IF(ISNUMBER(SEARCH("RTX",X52)),TRIM(MID(X52,SEARCH("RTX",X52),8)),IF(X52="","Unknown",IF(Z52="Dedicated","Dedicated (model n/a)","Integrated")))</f>
        <v>Integrated</v>
      </c>
      <c r="AB52" s="37" t="str">
        <f aca="false">IF(ISNUMBER(G52),INDEX(Params!$E$5:$E$9,MATCH(G52,Params!$D$5:$D$9,1)),"Unknown")</f>
        <v>100–200 M</v>
      </c>
      <c r="AC52" s="45" t="n">
        <f aca="false">IF(AND(ISNUMBER(G52),ISNUMBER(Q52)),IF(Q52&gt;0,G52/Q52,""),"")</f>
        <v>13.4875</v>
      </c>
      <c r="AD52" s="39" t="n">
        <f aca="false">IF(OR(p_excl=0,ISNUMBER(SEARCH("لپ",B52))),1,0)</f>
        <v>1</v>
      </c>
      <c r="AE52" s="39" t="n">
        <f aca="false">IF(AND(AD52=1,OR(fBrand="All",D52=fBrand),OR(fCPU="All",O52=fCPU),OR(fGPU="All",Z52=fGPU),OR(fTier="All",AB52=fTier),OR(fRAM="All",R52=fRAM)),1,0)</f>
        <v>1</v>
      </c>
      <c r="AF52" s="39" t="n">
        <f aca="false">IF(AND(AE52=1,ISNUMBER(G52)),1,0)</f>
        <v>1</v>
      </c>
      <c r="AG52" s="39" t="n">
        <f aca="false">IF(AND(AE52=1,L52&gt;0),1,0)</f>
        <v>1</v>
      </c>
      <c r="AH52" s="40" t="n">
        <f aca="false">IF(AF52=1,G52,"")</f>
        <v>107.9</v>
      </c>
      <c r="AI52" s="39" t="str">
        <f aca="false">IF(COUNTIF($D$2:D52,D52)=1,MAX($AI$1:AI51)+1,"")</f>
        <v/>
      </c>
      <c r="AJ52" s="39" t="str">
        <f aca="false">IF(COUNTIF($P$2:P52,P52)=1,MAX($AJ$1:AJ51)+1,"")</f>
        <v/>
      </c>
      <c r="AK52" s="47" t="n">
        <f aca="false">IF(AG52=1,M52+ROW()/1000000000,"")</f>
        <v>4.01774198748387</v>
      </c>
      <c r="AL52" s="47" t="str">
        <f aca="false">IF(AND(AE52=1,I52&gt;0),I52+ROW()/1000000000,"")</f>
        <v/>
      </c>
      <c r="AM52" s="39" t="n">
        <f aca="false">IF(AND(AF52=1,ISNUMBER(W52),Z52="Dedicated"),1,0)</f>
        <v>0</v>
      </c>
      <c r="AN52" s="39" t="n">
        <f aca="false">SUM($AM$2:AM52)</f>
        <v>14</v>
      </c>
      <c r="AO52" s="39" t="n">
        <f aca="false">IF(AND(AF52=1,ISNUMBER(W52),Z52&lt;&gt;"Dedicated"),1,0)</f>
        <v>1</v>
      </c>
      <c r="AP52" s="39" t="n">
        <f aca="false">SUM($AO$2:AO52)</f>
        <v>31</v>
      </c>
      <c r="AQ52" s="39" t="n">
        <f aca="false">IF(AND(AF52=1,AG52=1),1,0)</f>
        <v>1</v>
      </c>
      <c r="AR52" s="39" t="n">
        <f aca="false">SUM($AQ$2:AQ52)</f>
        <v>50</v>
      </c>
      <c r="AS52" s="45" t="n">
        <f aca="false">IF(AQ52=1,G52,0)</f>
        <v>107.9</v>
      </c>
      <c r="AT52" s="45" t="n">
        <f aca="false">IF(AQ52=1,K52,0)</f>
        <v>3.8</v>
      </c>
      <c r="AU52" s="37" t="str">
        <f aca="false">TRIM(IF(Raw!N52="","weight missing; ","")&amp;IF(Raw!K52="","storage missing; ","")&amp;IF(ISNUMBER(FIND(" و ",Raw!K52)),"dual storage - SSD part used; ","")&amp;IF(ISNUMBER(SEARCH("TB",Raw!K52)),"storage written as TB; ","")&amp;IF(Raw!I52="","cpu missing; ","")&amp;IF(Raw!M52="","gpu missing; ","")&amp;IF(Raw!J52="","ram missing; ","")&amp;IF(Raw!L52="","screen missing; ",""))</f>
        <v/>
      </c>
    </row>
    <row r="53" customFormat="false" ht="15" hidden="false" customHeight="false" outlineLevel="0" collapsed="false">
      <c r="A53" s="39" t="n">
        <f aca="false">Raw!A53</f>
        <v>67260</v>
      </c>
      <c r="B53" s="37" t="str">
        <f aca="false">Raw!B53</f>
        <v>لپ تاپ ایسوس 15.6 اینچی مدل Vivobook X1504VA Core 7 ۱۵۰U 8GB 512GB</v>
      </c>
      <c r="C53" s="37" t="str">
        <f aca="false">LOWER(TRIM(Raw!C53))</f>
        <v>asus</v>
      </c>
      <c r="D53" s="37" t="str">
        <f aca="false">IFERROR(INDEX(Params!$B$5:$B$13,MATCH(C53,Params!$A$5:$A$13,0)),PROPER(C53))</f>
        <v>ASUS</v>
      </c>
      <c r="E53" s="37" t="str">
        <f aca="false">IF(Raw!F53,"Available","Out of stock")</f>
        <v>Available</v>
      </c>
      <c r="F53" s="43" t="n">
        <f aca="false">IF(Raw!D53="","",Raw!D53)</f>
        <v>168200000</v>
      </c>
      <c r="G53" s="40" t="n">
        <f aca="false">IF(ISNUMBER(F53),F53/1000000,"")</f>
        <v>168.2</v>
      </c>
      <c r="H53" s="43" t="str">
        <f aca="false">IF(Raw!E53="","",Raw!E53)</f>
        <v/>
      </c>
      <c r="I53" s="42" t="n">
        <f aca="false">IF(AND(ISNUMBER(H53),ISNUMBER(F53)),IF(H53&gt;F53,(H53-F53)/H53,0),0)</f>
        <v>0</v>
      </c>
      <c r="J53" s="39" t="n">
        <f aca="false">IF(I53&gt;0,1,0)</f>
        <v>0</v>
      </c>
      <c r="K53" s="45" t="n">
        <f aca="false">Raw!G53</f>
        <v>1</v>
      </c>
      <c r="L53" s="39" t="n">
        <f aca="false">Raw!H53</f>
        <v>1</v>
      </c>
      <c r="M53" s="41" t="n">
        <f aca="false">IF(L53&gt;0,(L53*K53+p_m*p_c)/(L53+p_m),"")</f>
        <v>4.15909090909091</v>
      </c>
      <c r="N53" s="37" t="str">
        <f aca="false">IF(Raw!I53="","",TRIM(Raw!I53))</f>
        <v>Core 7 150U</v>
      </c>
      <c r="O53" s="37" t="str">
        <f aca="false">IF(N53="","Unknown",IF(LEFT(N53,5)="Apple","Apple",IF(LEFT(N53,5)="Ryzen","AMD","Intel")))</f>
        <v>Intel</v>
      </c>
      <c r="P53" s="37" t="str">
        <f aca="false">IF(N53="","Unknown",IF(LEFT(N53,5)="Apple","Apple Silicon",IF(LEFT(N53,8)="Ryzen AI","Ryzen AI",TRIM(LEFT(N53,7)))))</f>
        <v>Core 7</v>
      </c>
      <c r="Q53" s="39" t="n">
        <f aca="false">IFERROR(VALUE(LEFT(Raw!J53,FIND(" ",Raw!J53)-1)),"")</f>
        <v>8</v>
      </c>
      <c r="R53" s="37" t="str">
        <f aca="false">IF(NOT(ISNUMBER(Q53)),"Unknown",IF(Q53&lt;=8,"≤ 8 GB",IF(Q53&lt;=16,"12–16 GB","20 GB +")))</f>
        <v>≤ 8 GB</v>
      </c>
      <c r="S53" s="37" t="str">
        <f aca="false">IF(Raw!K53="","",IF(ISNUMBER(FIND(" و ",Raw!K53)),TRIM(MID(Raw!K53,FIND(" و ",Raw!K53)+3,100)),TRIM(Raw!K53)))</f>
        <v>512 گیگابایت</v>
      </c>
      <c r="T53" s="43" t="n">
        <f aca="false">IF(S53="","",IFERROR(IFERROR(VALUE(LEFT(S53,FIND(" ",S53)-1)),VALUE(LEFT(S53,LEN(S53)-2)))*IF(OR(ISNUMBER(SEARCH("ترابایت",S53)),ISNUMBER(SEARCH("TB",S53))),1024,1),""))</f>
        <v>512</v>
      </c>
      <c r="U53" s="37" t="str">
        <f aca="false">IF(NOT(ISNUMBER(T53)),"Unknown",IF(T53&lt;=256,"≤ 256 GB",IF(T53&lt;=512,"512 GB","1 TB +")))</f>
        <v>512 GB</v>
      </c>
      <c r="V53" s="45" t="n">
        <f aca="false">IFERROR(VALUE(SUBSTITUTE(LEFT(Raw!L53,FIND(" ",Raw!L53)-1),".",MID(1/2,2,1))),"")</f>
        <v>15.6</v>
      </c>
      <c r="W53" s="41" t="n">
        <f aca="false">IFERROR(VALUE(SUBSTITUTE(LEFT(Raw!N53,FIND(" ",Raw!N53)-1),".",MID(1/2,2,1))),"")</f>
        <v>1.7</v>
      </c>
      <c r="X53" s="37" t="str">
        <f aca="false">IF(Raw!M53="","",TRIM(Raw!M53))</f>
        <v>Intel</v>
      </c>
      <c r="Y53" s="37" t="str">
        <f aca="false">IF(X53="","Unknown",IF(ISNUMBER(SEARCH("nvidia",X53)),"NVIDIA",IF(ISNUMBER(SEARCH("amd",X53)),"AMD",IF(ISNUMBER(SEARCH("apple",X53)),"Apple",IF(ISNUMBER(SEARCH("intel",X53)),"Intel","Other")))))</f>
        <v>Intel</v>
      </c>
      <c r="Z53" s="37" t="str">
        <f aca="false">IF(X53="","Unknown",IF(ISNUMBER(SEARCH("RTX",X53))+ISNUMBER(SEARCH("GTX",X53))+ISNUMBER(SEARCH("nvidia",X53))+ISNUMBER(SEARCH("Radeon RX",X53))&gt;0,"Dedicated","Integrated"))</f>
        <v>Integrated</v>
      </c>
      <c r="AA53" s="37" t="str">
        <f aca="false">IF(ISNUMBER(SEARCH("RTX",X53)),TRIM(MID(X53,SEARCH("RTX",X53),8)),IF(X53="","Unknown",IF(Z53="Dedicated","Dedicated (model n/a)","Integrated")))</f>
        <v>Integrated</v>
      </c>
      <c r="AB53" s="37" t="str">
        <f aca="false">IF(ISNUMBER(G53),INDEX(Params!$E$5:$E$9,MATCH(G53,Params!$D$5:$D$9,1)),"Unknown")</f>
        <v>100–200 M</v>
      </c>
      <c r="AC53" s="45" t="n">
        <f aca="false">IF(AND(ISNUMBER(G53),ISNUMBER(Q53)),IF(Q53&gt;0,G53/Q53,""),"")</f>
        <v>21.025</v>
      </c>
      <c r="AD53" s="39" t="n">
        <f aca="false">IF(OR(p_excl=0,ISNUMBER(SEARCH("لپ",B53))),1,0)</f>
        <v>1</v>
      </c>
      <c r="AE53" s="39" t="n">
        <f aca="false">IF(AND(AD53=1,OR(fBrand="All",D53=fBrand),OR(fCPU="All",O53=fCPU),OR(fGPU="All",Z53=fGPU),OR(fTier="All",AB53=fTier),OR(fRAM="All",R53=fRAM)),1,0)</f>
        <v>1</v>
      </c>
      <c r="AF53" s="39" t="n">
        <f aca="false">IF(AND(AE53=1,ISNUMBER(G53)),1,0)</f>
        <v>1</v>
      </c>
      <c r="AG53" s="39" t="n">
        <f aca="false">IF(AND(AE53=1,L53&gt;0),1,0)</f>
        <v>1</v>
      </c>
      <c r="AH53" s="40" t="n">
        <f aca="false">IF(AF53=1,G53,"")</f>
        <v>168.2</v>
      </c>
      <c r="AI53" s="39" t="str">
        <f aca="false">IF(COUNTIF($D$2:D53,D53)=1,MAX($AI$1:AI52)+1,"")</f>
        <v/>
      </c>
      <c r="AJ53" s="39" t="str">
        <f aca="false">IF(COUNTIF($P$2:P53,P53)=1,MAX($AJ$1:AJ52)+1,"")</f>
        <v/>
      </c>
      <c r="AK53" s="47" t="n">
        <f aca="false">IF(AG53=1,M53+ROW()/1000000000,"")</f>
        <v>4.15909096209091</v>
      </c>
      <c r="AL53" s="47" t="str">
        <f aca="false">IF(AND(AE53=1,I53&gt;0),I53+ROW()/1000000000,"")</f>
        <v/>
      </c>
      <c r="AM53" s="39" t="n">
        <f aca="false">IF(AND(AF53=1,ISNUMBER(W53),Z53="Dedicated"),1,0)</f>
        <v>0</v>
      </c>
      <c r="AN53" s="39" t="n">
        <f aca="false">SUM($AM$2:AM53)</f>
        <v>14</v>
      </c>
      <c r="AO53" s="39" t="n">
        <f aca="false">IF(AND(AF53=1,ISNUMBER(W53),Z53&lt;&gt;"Dedicated"),1,0)</f>
        <v>1</v>
      </c>
      <c r="AP53" s="39" t="n">
        <f aca="false">SUM($AO$2:AO53)</f>
        <v>32</v>
      </c>
      <c r="AQ53" s="39" t="n">
        <f aca="false">IF(AND(AF53=1,AG53=1),1,0)</f>
        <v>1</v>
      </c>
      <c r="AR53" s="39" t="n">
        <f aca="false">SUM($AQ$2:AQ53)</f>
        <v>51</v>
      </c>
      <c r="AS53" s="45" t="n">
        <f aca="false">IF(AQ53=1,G53,0)</f>
        <v>168.2</v>
      </c>
      <c r="AT53" s="45" t="n">
        <f aca="false">IF(AQ53=1,K53,0)</f>
        <v>1</v>
      </c>
      <c r="AU53" s="37" t="str">
        <f aca="false">TRIM(IF(Raw!N53="","weight missing; ","")&amp;IF(Raw!K53="","storage missing; ","")&amp;IF(ISNUMBER(FIND(" و ",Raw!K53)),"dual storage - SSD part used; ","")&amp;IF(ISNUMBER(SEARCH("TB",Raw!K53)),"storage written as TB; ","")&amp;IF(Raw!I53="","cpu missing; ","")&amp;IF(Raw!M53="","gpu missing; ","")&amp;IF(Raw!J53="","ram missing; ","")&amp;IF(Raw!L53="","screen missing; ",""))</f>
        <v/>
      </c>
    </row>
    <row r="54" customFormat="false" ht="15" hidden="false" customHeight="false" outlineLevel="0" collapsed="false">
      <c r="A54" s="39" t="n">
        <f aca="false">Raw!A54</f>
        <v>32617</v>
      </c>
      <c r="B54" s="37" t="str">
        <f aca="false">Raw!B54</f>
        <v>لپ تاپ ایسوس 15.6 اینچی مدل Vivobook 15 X1504VA i7 1355U 16GB 1TB</v>
      </c>
      <c r="C54" s="37" t="str">
        <f aca="false">LOWER(TRIM(Raw!C54))</f>
        <v>asus</v>
      </c>
      <c r="D54" s="37" t="str">
        <f aca="false">IFERROR(INDEX(Params!$B$5:$B$13,MATCH(C54,Params!$A$5:$A$13,0)),PROPER(C54))</f>
        <v>ASUS</v>
      </c>
      <c r="E54" s="37" t="str">
        <f aca="false">IF(Raw!F54,"Available","Out of stock")</f>
        <v>Available</v>
      </c>
      <c r="F54" s="43" t="n">
        <f aca="false">IF(Raw!D54="","",Raw!D54)</f>
        <v>210300000</v>
      </c>
      <c r="G54" s="40" t="n">
        <f aca="false">IF(ISNUMBER(F54),F54/1000000,"")</f>
        <v>210.3</v>
      </c>
      <c r="H54" s="43" t="str">
        <f aca="false">IF(Raw!E54="","",Raw!E54)</f>
        <v/>
      </c>
      <c r="I54" s="42" t="n">
        <f aca="false">IF(AND(ISNUMBER(H54),ISNUMBER(F54)),IF(H54&gt;F54,(H54-F54)/H54,0),0)</f>
        <v>0</v>
      </c>
      <c r="J54" s="39" t="n">
        <f aca="false">IF(I54&gt;0,1,0)</f>
        <v>0</v>
      </c>
      <c r="K54" s="45" t="n">
        <f aca="false">Raw!G54</f>
        <v>4.6</v>
      </c>
      <c r="L54" s="39" t="n">
        <f aca="false">Raw!H54</f>
        <v>30</v>
      </c>
      <c r="M54" s="41" t="n">
        <f aca="false">IF(L54&gt;0,(L54*K54+p_m*p_c)/(L54+p_m),"")</f>
        <v>4.56875</v>
      </c>
      <c r="N54" s="37" t="str">
        <f aca="false">IF(Raw!I54="","",TRIM(Raw!I54))</f>
        <v>Core i7 1355U</v>
      </c>
      <c r="O54" s="37" t="str">
        <f aca="false">IF(N54="","Unknown",IF(LEFT(N54,5)="Apple","Apple",IF(LEFT(N54,5)="Ryzen","AMD","Intel")))</f>
        <v>Intel</v>
      </c>
      <c r="P54" s="37" t="str">
        <f aca="false">IF(N54="","Unknown",IF(LEFT(N54,5)="Apple","Apple Silicon",IF(LEFT(N54,8)="Ryzen AI","Ryzen AI",TRIM(LEFT(N54,7)))))</f>
        <v>Core i7</v>
      </c>
      <c r="Q54" s="39" t="n">
        <f aca="false">IFERROR(VALUE(LEFT(Raw!J54,FIND(" ",Raw!J54)-1)),"")</f>
        <v>16</v>
      </c>
      <c r="R54" s="37" t="str">
        <f aca="false">IF(NOT(ISNUMBER(Q54)),"Unknown",IF(Q54&lt;=8,"≤ 8 GB",IF(Q54&lt;=16,"12–16 GB","20 GB +")))</f>
        <v>12–16 GB</v>
      </c>
      <c r="S54" s="37" t="str">
        <f aca="false">IF(Raw!K54="","",IF(ISNUMBER(FIND(" و ",Raw!K54)),TRIM(MID(Raw!K54,FIND(" و ",Raw!K54)+3,100)),TRIM(Raw!K54)))</f>
        <v>1 ترابایت</v>
      </c>
      <c r="T54" s="43" t="n">
        <f aca="false">IF(S54="","",IFERROR(IFERROR(VALUE(LEFT(S54,FIND(" ",S54)-1)),VALUE(LEFT(S54,LEN(S54)-2)))*IF(OR(ISNUMBER(SEARCH("ترابایت",S54)),ISNUMBER(SEARCH("TB",S54))),1024,1),""))</f>
        <v>1024</v>
      </c>
      <c r="U54" s="37" t="str">
        <f aca="false">IF(NOT(ISNUMBER(T54)),"Unknown",IF(T54&lt;=256,"≤ 256 GB",IF(T54&lt;=512,"512 GB","1 TB +")))</f>
        <v>1 TB +</v>
      </c>
      <c r="V54" s="45" t="n">
        <f aca="false">IFERROR(VALUE(SUBSTITUTE(LEFT(Raw!L54,FIND(" ",Raw!L54)-1),".",MID(1/2,2,1))),"")</f>
        <v>15.6</v>
      </c>
      <c r="W54" s="41" t="n">
        <f aca="false">IFERROR(VALUE(SUBSTITUTE(LEFT(Raw!N54,FIND(" ",Raw!N54)-1),".",MID(1/2,2,1))),"")</f>
        <v>1.7</v>
      </c>
      <c r="X54" s="37" t="str">
        <f aca="false">IF(Raw!M54="","",TRIM(Raw!M54))</f>
        <v>Intel Intel Iris Xe</v>
      </c>
      <c r="Y54" s="37" t="str">
        <f aca="false">IF(X54="","Unknown",IF(ISNUMBER(SEARCH("nvidia",X54)),"NVIDIA",IF(ISNUMBER(SEARCH("amd",X54)),"AMD",IF(ISNUMBER(SEARCH("apple",X54)),"Apple",IF(ISNUMBER(SEARCH("intel",X54)),"Intel","Other")))))</f>
        <v>Intel</v>
      </c>
      <c r="Z54" s="37" t="str">
        <f aca="false">IF(X54="","Unknown",IF(ISNUMBER(SEARCH("RTX",X54))+ISNUMBER(SEARCH("GTX",X54))+ISNUMBER(SEARCH("nvidia",X54))+ISNUMBER(SEARCH("Radeon RX",X54))&gt;0,"Dedicated","Integrated"))</f>
        <v>Integrated</v>
      </c>
      <c r="AA54" s="37" t="str">
        <f aca="false">IF(ISNUMBER(SEARCH("RTX",X54)),TRIM(MID(X54,SEARCH("RTX",X54),8)),IF(X54="","Unknown",IF(Z54="Dedicated","Dedicated (model n/a)","Integrated")))</f>
        <v>Integrated</v>
      </c>
      <c r="AB54" s="37" t="str">
        <f aca="false">IF(ISNUMBER(G54),INDEX(Params!$E$5:$E$9,MATCH(G54,Params!$D$5:$D$9,1)),"Unknown")</f>
        <v>200–300 M</v>
      </c>
      <c r="AC54" s="45" t="n">
        <f aca="false">IF(AND(ISNUMBER(G54),ISNUMBER(Q54)),IF(Q54&gt;0,G54/Q54,""),"")</f>
        <v>13.14375</v>
      </c>
      <c r="AD54" s="39" t="n">
        <f aca="false">IF(OR(p_excl=0,ISNUMBER(SEARCH("لپ",B54))),1,0)</f>
        <v>1</v>
      </c>
      <c r="AE54" s="39" t="n">
        <f aca="false">IF(AND(AD54=1,OR(fBrand="All",D54=fBrand),OR(fCPU="All",O54=fCPU),OR(fGPU="All",Z54=fGPU),OR(fTier="All",AB54=fTier),OR(fRAM="All",R54=fRAM)),1,0)</f>
        <v>1</v>
      </c>
      <c r="AF54" s="39" t="n">
        <f aca="false">IF(AND(AE54=1,ISNUMBER(G54)),1,0)</f>
        <v>1</v>
      </c>
      <c r="AG54" s="39" t="n">
        <f aca="false">IF(AND(AE54=1,L54&gt;0),1,0)</f>
        <v>1</v>
      </c>
      <c r="AH54" s="40" t="n">
        <f aca="false">IF(AF54=1,G54,"")</f>
        <v>210.3</v>
      </c>
      <c r="AI54" s="39" t="str">
        <f aca="false">IF(COUNTIF($D$2:D54,D54)=1,MAX($AI$1:AI53)+1,"")</f>
        <v/>
      </c>
      <c r="AJ54" s="39" t="str">
        <f aca="false">IF(COUNTIF($P$2:P54,P54)=1,MAX($AJ$1:AJ53)+1,"")</f>
        <v/>
      </c>
      <c r="AK54" s="47" t="n">
        <f aca="false">IF(AG54=1,M54+ROW()/1000000000,"")</f>
        <v>4.568750054</v>
      </c>
      <c r="AL54" s="47" t="str">
        <f aca="false">IF(AND(AE54=1,I54&gt;0),I54+ROW()/1000000000,"")</f>
        <v/>
      </c>
      <c r="AM54" s="39" t="n">
        <f aca="false">IF(AND(AF54=1,ISNUMBER(W54),Z54="Dedicated"),1,0)</f>
        <v>0</v>
      </c>
      <c r="AN54" s="39" t="n">
        <f aca="false">SUM($AM$2:AM54)</f>
        <v>14</v>
      </c>
      <c r="AO54" s="39" t="n">
        <f aca="false">IF(AND(AF54=1,ISNUMBER(W54),Z54&lt;&gt;"Dedicated"),1,0)</f>
        <v>1</v>
      </c>
      <c r="AP54" s="39" t="n">
        <f aca="false">SUM($AO$2:AO54)</f>
        <v>33</v>
      </c>
      <c r="AQ54" s="39" t="n">
        <f aca="false">IF(AND(AF54=1,AG54=1),1,0)</f>
        <v>1</v>
      </c>
      <c r="AR54" s="39" t="n">
        <f aca="false">SUM($AQ$2:AQ54)</f>
        <v>52</v>
      </c>
      <c r="AS54" s="45" t="n">
        <f aca="false">IF(AQ54=1,G54,0)</f>
        <v>210.3</v>
      </c>
      <c r="AT54" s="45" t="n">
        <f aca="false">IF(AQ54=1,K54,0)</f>
        <v>4.6</v>
      </c>
      <c r="AU54" s="37" t="str">
        <f aca="false">TRIM(IF(Raw!N54="","weight missing; ","")&amp;IF(Raw!K54="","storage missing; ","")&amp;IF(ISNUMBER(FIND(" و ",Raw!K54)),"dual storage - SSD part used; ","")&amp;IF(ISNUMBER(SEARCH("TB",Raw!K54)),"storage written as TB; ","")&amp;IF(Raw!I54="","cpu missing; ","")&amp;IF(Raw!M54="","gpu missing; ","")&amp;IF(Raw!J54="","ram missing; ","")&amp;IF(Raw!L54="","screen missing; ",""))</f>
        <v/>
      </c>
    </row>
    <row r="55" customFormat="false" ht="15" hidden="false" customHeight="false" outlineLevel="0" collapsed="false">
      <c r="A55" s="39" t="n">
        <f aca="false">Raw!A55</f>
        <v>31463</v>
      </c>
      <c r="B55" s="37" t="str">
        <f aca="false">Raw!B55</f>
        <v>لپ تاپ ایسوس 15.6 اینچی مدل VivoBook E1504GA i3 N305 8GB 256GB</v>
      </c>
      <c r="C55" s="37" t="str">
        <f aca="false">LOWER(TRIM(Raw!C55))</f>
        <v>asus</v>
      </c>
      <c r="D55" s="37" t="str">
        <f aca="false">IFERROR(INDEX(Params!$B$5:$B$13,MATCH(C55,Params!$A$5:$A$13,0)),PROPER(C55))</f>
        <v>ASUS</v>
      </c>
      <c r="E55" s="37" t="str">
        <f aca="false">IF(Raw!F55,"Available","Out of stock")</f>
        <v>Available</v>
      </c>
      <c r="F55" s="43" t="n">
        <f aca="false">IF(Raw!D55="","",Raw!D55)</f>
        <v>119000000</v>
      </c>
      <c r="G55" s="40" t="n">
        <f aca="false">IF(ISNUMBER(F55),F55/1000000,"")</f>
        <v>119</v>
      </c>
      <c r="H55" s="43" t="str">
        <f aca="false">IF(Raw!E55="","",Raw!E55)</f>
        <v/>
      </c>
      <c r="I55" s="42" t="n">
        <f aca="false">IF(AND(ISNUMBER(H55),ISNUMBER(F55)),IF(H55&gt;F55,(H55-F55)/H55,0),0)</f>
        <v>0</v>
      </c>
      <c r="J55" s="39" t="n">
        <f aca="false">IF(I55&gt;0,1,0)</f>
        <v>0</v>
      </c>
      <c r="K55" s="45" t="n">
        <f aca="false">Raw!G55</f>
        <v>5</v>
      </c>
      <c r="L55" s="39" t="n">
        <f aca="false">Raw!H55</f>
        <v>1</v>
      </c>
      <c r="M55" s="41" t="n">
        <f aca="false">IF(L55&gt;0,(L55*K55+p_m*p_c)/(L55+p_m),"")</f>
        <v>4.52272727272727</v>
      </c>
      <c r="N55" s="37" t="str">
        <f aca="false">IF(Raw!I55="","",TRIM(Raw!I55))</f>
        <v>Core i3 N305</v>
      </c>
      <c r="O55" s="37" t="str">
        <f aca="false">IF(N55="","Unknown",IF(LEFT(N55,5)="Apple","Apple",IF(LEFT(N55,5)="Ryzen","AMD","Intel")))</f>
        <v>Intel</v>
      </c>
      <c r="P55" s="37" t="str">
        <f aca="false">IF(N55="","Unknown",IF(LEFT(N55,5)="Apple","Apple Silicon",IF(LEFT(N55,8)="Ryzen AI","Ryzen AI",TRIM(LEFT(N55,7)))))</f>
        <v>Core i3</v>
      </c>
      <c r="Q55" s="39" t="n">
        <f aca="false">IFERROR(VALUE(LEFT(Raw!J55,FIND(" ",Raw!J55)-1)),"")</f>
        <v>8</v>
      </c>
      <c r="R55" s="37" t="str">
        <f aca="false">IF(NOT(ISNUMBER(Q55)),"Unknown",IF(Q55&lt;=8,"≤ 8 GB",IF(Q55&lt;=16,"12–16 GB","20 GB +")))</f>
        <v>≤ 8 GB</v>
      </c>
      <c r="S55" s="37" t="str">
        <f aca="false">IF(Raw!K55="","",IF(ISNUMBER(FIND(" و ",Raw!K55)),TRIM(MID(Raw!K55,FIND(" و ",Raw!K55)+3,100)),TRIM(Raw!K55)))</f>
        <v>256 گیگابایت</v>
      </c>
      <c r="T55" s="43" t="n">
        <f aca="false">IF(S55="","",IFERROR(IFERROR(VALUE(LEFT(S55,FIND(" ",S55)-1)),VALUE(LEFT(S55,LEN(S55)-2)))*IF(OR(ISNUMBER(SEARCH("ترابایت",S55)),ISNUMBER(SEARCH("TB",S55))),1024,1),""))</f>
        <v>256</v>
      </c>
      <c r="U55" s="37" t="str">
        <f aca="false">IF(NOT(ISNUMBER(T55)),"Unknown",IF(T55&lt;=256,"≤ 256 GB",IF(T55&lt;=512,"512 GB","1 TB +")))</f>
        <v>≤ 256 GB</v>
      </c>
      <c r="V55" s="45" t="n">
        <f aca="false">IFERROR(VALUE(SUBSTITUTE(LEFT(Raw!L55,FIND(" ",Raw!L55)-1),".",MID(1/2,2,1))),"")</f>
        <v>15.6</v>
      </c>
      <c r="W55" s="41" t="n">
        <f aca="false">IFERROR(VALUE(SUBSTITUTE(LEFT(Raw!N55,FIND(" ",Raw!N55)-1),".",MID(1/2,2,1))),"")</f>
        <v>1.63</v>
      </c>
      <c r="X55" s="37" t="str">
        <f aca="false">IF(Raw!M55="","",TRIM(Raw!M55))</f>
        <v>Intel UHD Graphics</v>
      </c>
      <c r="Y55" s="37" t="str">
        <f aca="false">IF(X55="","Unknown",IF(ISNUMBER(SEARCH("nvidia",X55)),"NVIDIA",IF(ISNUMBER(SEARCH("amd",X55)),"AMD",IF(ISNUMBER(SEARCH("apple",X55)),"Apple",IF(ISNUMBER(SEARCH("intel",X55)),"Intel","Other")))))</f>
        <v>Intel</v>
      </c>
      <c r="Z55" s="37" t="str">
        <f aca="false">IF(X55="","Unknown",IF(ISNUMBER(SEARCH("RTX",X55))+ISNUMBER(SEARCH("GTX",X55))+ISNUMBER(SEARCH("nvidia",X55))+ISNUMBER(SEARCH("Radeon RX",X55))&gt;0,"Dedicated","Integrated"))</f>
        <v>Integrated</v>
      </c>
      <c r="AA55" s="37" t="str">
        <f aca="false">IF(ISNUMBER(SEARCH("RTX",X55)),TRIM(MID(X55,SEARCH("RTX",X55),8)),IF(X55="","Unknown",IF(Z55="Dedicated","Dedicated (model n/a)","Integrated")))</f>
        <v>Integrated</v>
      </c>
      <c r="AB55" s="37" t="str">
        <f aca="false">IF(ISNUMBER(G55),INDEX(Params!$E$5:$E$9,MATCH(G55,Params!$D$5:$D$9,1)),"Unknown")</f>
        <v>100–200 M</v>
      </c>
      <c r="AC55" s="45" t="n">
        <f aca="false">IF(AND(ISNUMBER(G55),ISNUMBER(Q55)),IF(Q55&gt;0,G55/Q55,""),"")</f>
        <v>14.875</v>
      </c>
      <c r="AD55" s="39" t="n">
        <f aca="false">IF(OR(p_excl=0,ISNUMBER(SEARCH("لپ",B55))),1,0)</f>
        <v>1</v>
      </c>
      <c r="AE55" s="39" t="n">
        <f aca="false">IF(AND(AD55=1,OR(fBrand="All",D55=fBrand),OR(fCPU="All",O55=fCPU),OR(fGPU="All",Z55=fGPU),OR(fTier="All",AB55=fTier),OR(fRAM="All",R55=fRAM)),1,0)</f>
        <v>1</v>
      </c>
      <c r="AF55" s="39" t="n">
        <f aca="false">IF(AND(AE55=1,ISNUMBER(G55)),1,0)</f>
        <v>1</v>
      </c>
      <c r="AG55" s="39" t="n">
        <f aca="false">IF(AND(AE55=1,L55&gt;0),1,0)</f>
        <v>1</v>
      </c>
      <c r="AH55" s="40" t="n">
        <f aca="false">IF(AF55=1,G55,"")</f>
        <v>119</v>
      </c>
      <c r="AI55" s="39" t="str">
        <f aca="false">IF(COUNTIF($D$2:D55,D55)=1,MAX($AI$1:AI54)+1,"")</f>
        <v/>
      </c>
      <c r="AJ55" s="39" t="str">
        <f aca="false">IF(COUNTIF($P$2:P55,P55)=1,MAX($AJ$1:AJ54)+1,"")</f>
        <v/>
      </c>
      <c r="AK55" s="47" t="n">
        <f aca="false">IF(AG55=1,M55+ROW()/1000000000,"")</f>
        <v>4.52272732772727</v>
      </c>
      <c r="AL55" s="47" t="str">
        <f aca="false">IF(AND(AE55=1,I55&gt;0),I55+ROW()/1000000000,"")</f>
        <v/>
      </c>
      <c r="AM55" s="39" t="n">
        <f aca="false">IF(AND(AF55=1,ISNUMBER(W55),Z55="Dedicated"),1,0)</f>
        <v>0</v>
      </c>
      <c r="AN55" s="39" t="n">
        <f aca="false">SUM($AM$2:AM55)</f>
        <v>14</v>
      </c>
      <c r="AO55" s="39" t="n">
        <f aca="false">IF(AND(AF55=1,ISNUMBER(W55),Z55&lt;&gt;"Dedicated"),1,0)</f>
        <v>1</v>
      </c>
      <c r="AP55" s="39" t="n">
        <f aca="false">SUM($AO$2:AO55)</f>
        <v>34</v>
      </c>
      <c r="AQ55" s="39" t="n">
        <f aca="false">IF(AND(AF55=1,AG55=1),1,0)</f>
        <v>1</v>
      </c>
      <c r="AR55" s="39" t="n">
        <f aca="false">SUM($AQ$2:AQ55)</f>
        <v>53</v>
      </c>
      <c r="AS55" s="45" t="n">
        <f aca="false">IF(AQ55=1,G55,0)</f>
        <v>119</v>
      </c>
      <c r="AT55" s="45" t="n">
        <f aca="false">IF(AQ55=1,K55,0)</f>
        <v>5</v>
      </c>
      <c r="AU55" s="37" t="str">
        <f aca="false">TRIM(IF(Raw!N55="","weight missing; ","")&amp;IF(Raw!K55="","storage missing; ","")&amp;IF(ISNUMBER(FIND(" و ",Raw!K55)),"dual storage - SSD part used; ","")&amp;IF(ISNUMBER(SEARCH("TB",Raw!K55)),"storage written as TB; ","")&amp;IF(Raw!I55="","cpu missing; ","")&amp;IF(Raw!M55="","gpu missing; ","")&amp;IF(Raw!J55="","ram missing; ","")&amp;IF(Raw!L55="","screen missing; ",""))</f>
        <v/>
      </c>
    </row>
    <row r="56" customFormat="false" ht="15" hidden="false" customHeight="false" outlineLevel="0" collapsed="false">
      <c r="A56" s="39" t="n">
        <f aca="false">Raw!A56</f>
        <v>592677</v>
      </c>
      <c r="B56" s="37" t="str">
        <f aca="false">Raw!B56</f>
        <v>لپ تاپ 15.6 اینچی دل مدل 15 DC15250 Core i5 1334U 16GB 1TB</v>
      </c>
      <c r="C56" s="37" t="str">
        <f aca="false">LOWER(TRIM(Raw!C56))</f>
        <v>dell</v>
      </c>
      <c r="D56" s="37" t="str">
        <f aca="false">IFERROR(INDEX(Params!$B$5:$B$13,MATCH(C56,Params!$A$5:$A$13,0)),PROPER(C56))</f>
        <v>Dell</v>
      </c>
      <c r="E56" s="37" t="str">
        <f aca="false">IF(Raw!F56,"Available","Out of stock")</f>
        <v>Available</v>
      </c>
      <c r="F56" s="43" t="n">
        <f aca="false">IF(Raw!D56="","",Raw!D56)</f>
        <v>198300000</v>
      </c>
      <c r="G56" s="40" t="n">
        <f aca="false">IF(ISNUMBER(F56),F56/1000000,"")</f>
        <v>198.3</v>
      </c>
      <c r="H56" s="43" t="str">
        <f aca="false">IF(Raw!E56="","",Raw!E56)</f>
        <v/>
      </c>
      <c r="I56" s="42" t="n">
        <f aca="false">IF(AND(ISNUMBER(H56),ISNUMBER(F56)),IF(H56&gt;F56,(H56-F56)/H56,0),0)</f>
        <v>0</v>
      </c>
      <c r="J56" s="39" t="n">
        <f aca="false">IF(I56&gt;0,1,0)</f>
        <v>0</v>
      </c>
      <c r="K56" s="45" t="n">
        <f aca="false">Raw!G56</f>
        <v>4</v>
      </c>
      <c r="L56" s="39" t="n">
        <f aca="false">Raw!H56</f>
        <v>1</v>
      </c>
      <c r="M56" s="41" t="n">
        <f aca="false">IF(L56&gt;0,(L56*K56+p_m*p_c)/(L56+p_m),"")</f>
        <v>4.43181818181818</v>
      </c>
      <c r="N56" s="37" t="str">
        <f aca="false">IF(Raw!I56="","",TRIM(Raw!I56))</f>
        <v>Core i5 Core i5-1334U</v>
      </c>
      <c r="O56" s="37" t="str">
        <f aca="false">IF(N56="","Unknown",IF(LEFT(N56,5)="Apple","Apple",IF(LEFT(N56,5)="Ryzen","AMD","Intel")))</f>
        <v>Intel</v>
      </c>
      <c r="P56" s="37" t="str">
        <f aca="false">IF(N56="","Unknown",IF(LEFT(N56,5)="Apple","Apple Silicon",IF(LEFT(N56,8)="Ryzen AI","Ryzen AI",TRIM(LEFT(N56,7)))))</f>
        <v>Core i5</v>
      </c>
      <c r="Q56" s="39" t="n">
        <f aca="false">IFERROR(VALUE(LEFT(Raw!J56,FIND(" ",Raw!J56)-1)),"")</f>
        <v>16</v>
      </c>
      <c r="R56" s="37" t="str">
        <f aca="false">IF(NOT(ISNUMBER(Q56)),"Unknown",IF(Q56&lt;=8,"≤ 8 GB",IF(Q56&lt;=16,"12–16 GB","20 GB +")))</f>
        <v>12–16 GB</v>
      </c>
      <c r="S56" s="37" t="str">
        <f aca="false">IF(Raw!K56="","",IF(ISNUMBER(FIND(" و ",Raw!K56)),TRIM(MID(Raw!K56,FIND(" و ",Raw!K56)+3,100)),TRIM(Raw!K56)))</f>
        <v/>
      </c>
      <c r="T56" s="43" t="str">
        <f aca="false">IF(S56="","",IFERROR(IFERROR(VALUE(LEFT(S56,FIND(" ",S56)-1)),VALUE(LEFT(S56,LEN(S56)-2)))*IF(OR(ISNUMBER(SEARCH("ترابایت",S56)),ISNUMBER(SEARCH("TB",S56))),1024,1),""))</f>
        <v/>
      </c>
      <c r="U56" s="37" t="str">
        <f aca="false">IF(NOT(ISNUMBER(T56)),"Unknown",IF(T56&lt;=256,"≤ 256 GB",IF(T56&lt;=512,"512 GB","1 TB +")))</f>
        <v>Unknown</v>
      </c>
      <c r="V56" s="45" t="n">
        <f aca="false">IFERROR(VALUE(SUBSTITUTE(LEFT(Raw!L56,FIND(" ",Raw!L56)-1),".",MID(1/2,2,1))),"")</f>
        <v>15.6</v>
      </c>
      <c r="W56" s="41" t="n">
        <f aca="false">IFERROR(VALUE(SUBSTITUTE(LEFT(Raw!N56,FIND(" ",Raw!N56)-1),".",MID(1/2,2,1))),"")</f>
        <v>1.65</v>
      </c>
      <c r="X56" s="37" t="str">
        <f aca="false">IF(Raw!M56="","",TRIM(Raw!M56))</f>
        <v>NVIDIA</v>
      </c>
      <c r="Y56" s="37" t="str">
        <f aca="false">IF(X56="","Unknown",IF(ISNUMBER(SEARCH("nvidia",X56)),"NVIDIA",IF(ISNUMBER(SEARCH("amd",X56)),"AMD",IF(ISNUMBER(SEARCH("apple",X56)),"Apple",IF(ISNUMBER(SEARCH("intel",X56)),"Intel","Other")))))</f>
        <v>NVIDIA</v>
      </c>
      <c r="Z56" s="37" t="str">
        <f aca="false">IF(X56="","Unknown",IF(ISNUMBER(SEARCH("RTX",X56))+ISNUMBER(SEARCH("GTX",X56))+ISNUMBER(SEARCH("nvidia",X56))+ISNUMBER(SEARCH("Radeon RX",X56))&gt;0,"Dedicated","Integrated"))</f>
        <v>Dedicated</v>
      </c>
      <c r="AA56" s="37" t="str">
        <f aca="false">IF(ISNUMBER(SEARCH("RTX",X56)),TRIM(MID(X56,SEARCH("RTX",X56),8)),IF(X56="","Unknown",IF(Z56="Dedicated","Dedicated (model n/a)","Integrated")))</f>
        <v>Dedicated (model n/a)</v>
      </c>
      <c r="AB56" s="37" t="str">
        <f aca="false">IF(ISNUMBER(G56),INDEX(Params!$E$5:$E$9,MATCH(G56,Params!$D$5:$D$9,1)),"Unknown")</f>
        <v>100–200 M</v>
      </c>
      <c r="AC56" s="45" t="n">
        <f aca="false">IF(AND(ISNUMBER(G56),ISNUMBER(Q56)),IF(Q56&gt;0,G56/Q56,""),"")</f>
        <v>12.39375</v>
      </c>
      <c r="AD56" s="39" t="n">
        <f aca="false">IF(OR(p_excl=0,ISNUMBER(SEARCH("لپ",B56))),1,0)</f>
        <v>1</v>
      </c>
      <c r="AE56" s="39" t="n">
        <f aca="false">IF(AND(AD56=1,OR(fBrand="All",D56=fBrand),OR(fCPU="All",O56=fCPU),OR(fGPU="All",Z56=fGPU),OR(fTier="All",AB56=fTier),OR(fRAM="All",R56=fRAM)),1,0)</f>
        <v>1</v>
      </c>
      <c r="AF56" s="39" t="n">
        <f aca="false">IF(AND(AE56=1,ISNUMBER(G56)),1,0)</f>
        <v>1</v>
      </c>
      <c r="AG56" s="39" t="n">
        <f aca="false">IF(AND(AE56=1,L56&gt;0),1,0)</f>
        <v>1</v>
      </c>
      <c r="AH56" s="40" t="n">
        <f aca="false">IF(AF56=1,G56,"")</f>
        <v>198.3</v>
      </c>
      <c r="AI56" s="39" t="n">
        <f aca="false">IF(COUNTIF($D$2:D56,D56)=1,MAX($AI$1:AI55)+1,"")</f>
        <v>8</v>
      </c>
      <c r="AJ56" s="39" t="str">
        <f aca="false">IF(COUNTIF($P$2:P56,P56)=1,MAX($AJ$1:AJ55)+1,"")</f>
        <v/>
      </c>
      <c r="AK56" s="47" t="n">
        <f aca="false">IF(AG56=1,M56+ROW()/1000000000,"")</f>
        <v>4.43181823781818</v>
      </c>
      <c r="AL56" s="47" t="str">
        <f aca="false">IF(AND(AE56=1,I56&gt;0),I56+ROW()/1000000000,"")</f>
        <v/>
      </c>
      <c r="AM56" s="39" t="n">
        <f aca="false">IF(AND(AF56=1,ISNUMBER(W56),Z56="Dedicated"),1,0)</f>
        <v>1</v>
      </c>
      <c r="AN56" s="39" t="n">
        <f aca="false">SUM($AM$2:AM56)</f>
        <v>15</v>
      </c>
      <c r="AO56" s="39" t="n">
        <f aca="false">IF(AND(AF56=1,ISNUMBER(W56),Z56&lt;&gt;"Dedicated"),1,0)</f>
        <v>0</v>
      </c>
      <c r="AP56" s="39" t="n">
        <f aca="false">SUM($AO$2:AO56)</f>
        <v>34</v>
      </c>
      <c r="AQ56" s="39" t="n">
        <f aca="false">IF(AND(AF56=1,AG56=1),1,0)</f>
        <v>1</v>
      </c>
      <c r="AR56" s="39" t="n">
        <f aca="false">SUM($AQ$2:AQ56)</f>
        <v>54</v>
      </c>
      <c r="AS56" s="45" t="n">
        <f aca="false">IF(AQ56=1,G56,0)</f>
        <v>198.3</v>
      </c>
      <c r="AT56" s="45" t="n">
        <f aca="false">IF(AQ56=1,K56,0)</f>
        <v>4</v>
      </c>
      <c r="AU56" s="37" t="str">
        <f aca="false">TRIM(IF(Raw!N56="","weight missing; ","")&amp;IF(Raw!K56="","storage missing; ","")&amp;IF(ISNUMBER(FIND(" و ",Raw!K56)),"dual storage - SSD part used; ","")&amp;IF(ISNUMBER(SEARCH("TB",Raw!K56)),"storage written as TB; ","")&amp;IF(Raw!I56="","cpu missing; ","")&amp;IF(Raw!M56="","gpu missing; ","")&amp;IF(Raw!J56="","ram missing; ","")&amp;IF(Raw!L56="","screen missing; ",""))</f>
        <v>storage missing;</v>
      </c>
    </row>
    <row r="57" customFormat="false" ht="15" hidden="false" customHeight="false" outlineLevel="0" collapsed="false">
      <c r="A57" s="39" t="n">
        <f aca="false">Raw!A57</f>
        <v>577951</v>
      </c>
      <c r="B57" s="37" t="str">
        <f aca="false">Raw!B57</f>
        <v>لپ تاپ لنوو 15.6 اینچی مدل LOQ i7 13645HX 32GB 1TB RTX4050</v>
      </c>
      <c r="C57" s="37" t="str">
        <f aca="false">LOWER(TRIM(Raw!C57))</f>
        <v>lenovo</v>
      </c>
      <c r="D57" s="37" t="str">
        <f aca="false">IFERROR(INDEX(Params!$B$5:$B$13,MATCH(C57,Params!$A$5:$A$13,0)),PROPER(C57))</f>
        <v>Lenovo</v>
      </c>
      <c r="E57" s="37" t="str">
        <f aca="false">IF(Raw!F57,"Available","Out of stock")</f>
        <v>Available</v>
      </c>
      <c r="F57" s="43" t="n">
        <f aca="false">IF(Raw!D57="","",Raw!D57)</f>
        <v>410000000</v>
      </c>
      <c r="G57" s="40" t="n">
        <f aca="false">IF(ISNUMBER(F57),F57/1000000,"")</f>
        <v>410</v>
      </c>
      <c r="H57" s="43" t="str">
        <f aca="false">IF(Raw!E57="","",Raw!E57)</f>
        <v/>
      </c>
      <c r="I57" s="42" t="n">
        <f aca="false">IF(AND(ISNUMBER(H57),ISNUMBER(F57)),IF(H57&gt;F57,(H57-F57)/H57,0),0)</f>
        <v>0</v>
      </c>
      <c r="J57" s="39" t="n">
        <f aca="false">IF(I57&gt;0,1,0)</f>
        <v>0</v>
      </c>
      <c r="K57" s="45" t="n">
        <f aca="false">Raw!G57</f>
        <v>5</v>
      </c>
      <c r="L57" s="39" t="n">
        <f aca="false">Raw!H57</f>
        <v>1</v>
      </c>
      <c r="M57" s="41" t="n">
        <f aca="false">IF(L57&gt;0,(L57*K57+p_m*p_c)/(L57+p_m),"")</f>
        <v>4.52272727272727</v>
      </c>
      <c r="N57" s="37" t="str">
        <f aca="false">IF(Raw!I57="","",TRIM(Raw!I57))</f>
        <v>Core i7 13650HX</v>
      </c>
      <c r="O57" s="37" t="str">
        <f aca="false">IF(N57="","Unknown",IF(LEFT(N57,5)="Apple","Apple",IF(LEFT(N57,5)="Ryzen","AMD","Intel")))</f>
        <v>Intel</v>
      </c>
      <c r="P57" s="37" t="str">
        <f aca="false">IF(N57="","Unknown",IF(LEFT(N57,5)="Apple","Apple Silicon",IF(LEFT(N57,8)="Ryzen AI","Ryzen AI",TRIM(LEFT(N57,7)))))</f>
        <v>Core i7</v>
      </c>
      <c r="Q57" s="39" t="n">
        <f aca="false">IFERROR(VALUE(LEFT(Raw!J57,FIND(" ",Raw!J57)-1)),"")</f>
        <v>32</v>
      </c>
      <c r="R57" s="37" t="str">
        <f aca="false">IF(NOT(ISNUMBER(Q57)),"Unknown",IF(Q57&lt;=8,"≤ 8 GB",IF(Q57&lt;=16,"12–16 GB","20 GB +")))</f>
        <v>20 GB +</v>
      </c>
      <c r="S57" s="37" t="str">
        <f aca="false">IF(Raw!K57="","",IF(ISNUMBER(FIND(" و ",Raw!K57)),TRIM(MID(Raw!K57,FIND(" و ",Raw!K57)+3,100)),TRIM(Raw!K57)))</f>
        <v/>
      </c>
      <c r="T57" s="43" t="str">
        <f aca="false">IF(S57="","",IFERROR(IFERROR(VALUE(LEFT(S57,FIND(" ",S57)-1)),VALUE(LEFT(S57,LEN(S57)-2)))*IF(OR(ISNUMBER(SEARCH("ترابایت",S57)),ISNUMBER(SEARCH("TB",S57))),1024,1),""))</f>
        <v/>
      </c>
      <c r="U57" s="37" t="str">
        <f aca="false">IF(NOT(ISNUMBER(T57)),"Unknown",IF(T57&lt;=256,"≤ 256 GB",IF(T57&lt;=512,"512 GB","1 TB +")))</f>
        <v>Unknown</v>
      </c>
      <c r="V57" s="45" t="n">
        <f aca="false">IFERROR(VALUE(SUBSTITUTE(LEFT(Raw!L57,FIND(" ",Raw!L57)-1),".",MID(1/2,2,1))),"")</f>
        <v>15.6</v>
      </c>
      <c r="W57" s="41" t="n">
        <f aca="false">IFERROR(VALUE(SUBSTITUTE(LEFT(Raw!N57,FIND(" ",Raw!N57)-1),".",MID(1/2,2,1))),"")</f>
        <v>2.4</v>
      </c>
      <c r="X57" s="37" t="str">
        <f aca="false">IF(Raw!M57="","",TRIM(Raw!M57))</f>
        <v>NVIDIA GeForce RTX 4050</v>
      </c>
      <c r="Y57" s="37" t="str">
        <f aca="false">IF(X57="","Unknown",IF(ISNUMBER(SEARCH("nvidia",X57)),"NVIDIA",IF(ISNUMBER(SEARCH("amd",X57)),"AMD",IF(ISNUMBER(SEARCH("apple",X57)),"Apple",IF(ISNUMBER(SEARCH("intel",X57)),"Intel","Other")))))</f>
        <v>NVIDIA</v>
      </c>
      <c r="Z57" s="37" t="str">
        <f aca="false">IF(X57="","Unknown",IF(ISNUMBER(SEARCH("RTX",X57))+ISNUMBER(SEARCH("GTX",X57))+ISNUMBER(SEARCH("nvidia",X57))+ISNUMBER(SEARCH("Radeon RX",X57))&gt;0,"Dedicated","Integrated"))</f>
        <v>Dedicated</v>
      </c>
      <c r="AA57" s="37" t="str">
        <f aca="false">IF(ISNUMBER(SEARCH("RTX",X57)),TRIM(MID(X57,SEARCH("RTX",X57),8)),IF(X57="","Unknown",IF(Z57="Dedicated","Dedicated (model n/a)","Integrated")))</f>
        <v>RTX 4050</v>
      </c>
      <c r="AB57" s="37" t="str">
        <f aca="false">IF(ISNUMBER(G57),INDEX(Params!$E$5:$E$9,MATCH(G57,Params!$D$5:$D$9,1)),"Unknown")</f>
        <v>400 M +</v>
      </c>
      <c r="AC57" s="45" t="n">
        <f aca="false">IF(AND(ISNUMBER(G57),ISNUMBER(Q57)),IF(Q57&gt;0,G57/Q57,""),"")</f>
        <v>12.8125</v>
      </c>
      <c r="AD57" s="39" t="n">
        <f aca="false">IF(OR(p_excl=0,ISNUMBER(SEARCH("لپ",B57))),1,0)</f>
        <v>1</v>
      </c>
      <c r="AE57" s="39" t="n">
        <f aca="false">IF(AND(AD57=1,OR(fBrand="All",D57=fBrand),OR(fCPU="All",O57=fCPU),OR(fGPU="All",Z57=fGPU),OR(fTier="All",AB57=fTier),OR(fRAM="All",R57=fRAM)),1,0)</f>
        <v>1</v>
      </c>
      <c r="AF57" s="39" t="n">
        <f aca="false">IF(AND(AE57=1,ISNUMBER(G57)),1,0)</f>
        <v>1</v>
      </c>
      <c r="AG57" s="39" t="n">
        <f aca="false">IF(AND(AE57=1,L57&gt;0),1,0)</f>
        <v>1</v>
      </c>
      <c r="AH57" s="40" t="n">
        <f aca="false">IF(AF57=1,G57,"")</f>
        <v>410</v>
      </c>
      <c r="AI57" s="39" t="str">
        <f aca="false">IF(COUNTIF($D$2:D57,D57)=1,MAX($AI$1:AI56)+1,"")</f>
        <v/>
      </c>
      <c r="AJ57" s="39" t="str">
        <f aca="false">IF(COUNTIF($P$2:P57,P57)=1,MAX($AJ$1:AJ56)+1,"")</f>
        <v/>
      </c>
      <c r="AK57" s="47" t="n">
        <f aca="false">IF(AG57=1,M57+ROW()/1000000000,"")</f>
        <v>4.52272732972727</v>
      </c>
      <c r="AL57" s="47" t="str">
        <f aca="false">IF(AND(AE57=1,I57&gt;0),I57+ROW()/1000000000,"")</f>
        <v/>
      </c>
      <c r="AM57" s="39" t="n">
        <f aca="false">IF(AND(AF57=1,ISNUMBER(W57),Z57="Dedicated"),1,0)</f>
        <v>1</v>
      </c>
      <c r="AN57" s="39" t="n">
        <f aca="false">SUM($AM$2:AM57)</f>
        <v>16</v>
      </c>
      <c r="AO57" s="39" t="n">
        <f aca="false">IF(AND(AF57=1,ISNUMBER(W57),Z57&lt;&gt;"Dedicated"),1,0)</f>
        <v>0</v>
      </c>
      <c r="AP57" s="39" t="n">
        <f aca="false">SUM($AO$2:AO57)</f>
        <v>34</v>
      </c>
      <c r="AQ57" s="39" t="n">
        <f aca="false">IF(AND(AF57=1,AG57=1),1,0)</f>
        <v>1</v>
      </c>
      <c r="AR57" s="39" t="n">
        <f aca="false">SUM($AQ$2:AQ57)</f>
        <v>55</v>
      </c>
      <c r="AS57" s="45" t="n">
        <f aca="false">IF(AQ57=1,G57,0)</f>
        <v>410</v>
      </c>
      <c r="AT57" s="45" t="n">
        <f aca="false">IF(AQ57=1,K57,0)</f>
        <v>5</v>
      </c>
      <c r="AU57" s="37" t="str">
        <f aca="false">TRIM(IF(Raw!N57="","weight missing; ","")&amp;IF(Raw!K57="","storage missing; ","")&amp;IF(ISNUMBER(FIND(" و ",Raw!K57)),"dual storage - SSD part used; ","")&amp;IF(ISNUMBER(SEARCH("TB",Raw!K57)),"storage written as TB; ","")&amp;IF(Raw!I57="","cpu missing; ","")&amp;IF(Raw!M57="","gpu missing; ","")&amp;IF(Raw!J57="","ram missing; ","")&amp;IF(Raw!L57="","screen missing; ",""))</f>
        <v>storage missing;</v>
      </c>
    </row>
    <row r="58" customFormat="false" ht="15" hidden="false" customHeight="false" outlineLevel="0" collapsed="false">
      <c r="A58" s="39" t="n">
        <f aca="false">Raw!A58</f>
        <v>520965</v>
      </c>
      <c r="B58" s="37" t="str">
        <f aca="false">Raw!B58</f>
        <v>لپ تاپ ایسوس 16 اینچی مدل TUF Gaming FA607NUQ R7 170 12GB 512GB 6G RTX 4050</v>
      </c>
      <c r="C58" s="37" t="str">
        <f aca="false">LOWER(TRIM(Raw!C58))</f>
        <v>asus</v>
      </c>
      <c r="D58" s="37" t="str">
        <f aca="false">IFERROR(INDEX(Params!$B$5:$B$13,MATCH(C58,Params!$A$5:$A$13,0)),PROPER(C58))</f>
        <v>ASUS</v>
      </c>
      <c r="E58" s="37" t="str">
        <f aca="false">IF(Raw!F58,"Available","Out of stock")</f>
        <v>Available</v>
      </c>
      <c r="F58" s="43" t="n">
        <f aca="false">IF(Raw!D58="","",Raw!D58)</f>
        <v>299000000</v>
      </c>
      <c r="G58" s="40" t="n">
        <f aca="false">IF(ISNUMBER(F58),F58/1000000,"")</f>
        <v>299</v>
      </c>
      <c r="H58" s="43" t="str">
        <f aca="false">IF(Raw!E58="","",Raw!E58)</f>
        <v/>
      </c>
      <c r="I58" s="42" t="n">
        <f aca="false">IF(AND(ISNUMBER(H58),ISNUMBER(F58)),IF(H58&gt;F58,(H58-F58)/H58,0),0)</f>
        <v>0</v>
      </c>
      <c r="J58" s="39" t="n">
        <f aca="false">IF(I58&gt;0,1,0)</f>
        <v>0</v>
      </c>
      <c r="K58" s="45" t="n">
        <f aca="false">Raw!G58</f>
        <v>5</v>
      </c>
      <c r="L58" s="39" t="n">
        <f aca="false">Raw!H58</f>
        <v>1</v>
      </c>
      <c r="M58" s="41" t="n">
        <f aca="false">IF(L58&gt;0,(L58*K58+p_m*p_c)/(L58+p_m),"")</f>
        <v>4.52272727272727</v>
      </c>
      <c r="N58" s="37" t="str">
        <f aca="false">IF(Raw!I58="","",TRIM(Raw!I58))</f>
        <v>Ryzen 7 170</v>
      </c>
      <c r="O58" s="37" t="str">
        <f aca="false">IF(N58="","Unknown",IF(LEFT(N58,5)="Apple","Apple",IF(LEFT(N58,5)="Ryzen","AMD","Intel")))</f>
        <v>AMD</v>
      </c>
      <c r="P58" s="37" t="str">
        <f aca="false">IF(N58="","Unknown",IF(LEFT(N58,5)="Apple","Apple Silicon",IF(LEFT(N58,8)="Ryzen AI","Ryzen AI",TRIM(LEFT(N58,7)))))</f>
        <v>Ryzen 7</v>
      </c>
      <c r="Q58" s="39" t="n">
        <f aca="false">IFERROR(VALUE(LEFT(Raw!J58,FIND(" ",Raw!J58)-1)),"")</f>
        <v>16</v>
      </c>
      <c r="R58" s="37" t="str">
        <f aca="false">IF(NOT(ISNUMBER(Q58)),"Unknown",IF(Q58&lt;=8,"≤ 8 GB",IF(Q58&lt;=16,"12–16 GB","20 GB +")))</f>
        <v>12–16 GB</v>
      </c>
      <c r="S58" s="37" t="str">
        <f aca="false">IF(Raw!K58="","",IF(ISNUMBER(FIND(" و ",Raw!K58)),TRIM(MID(Raw!K58,FIND(" و ",Raw!K58)+3,100)),TRIM(Raw!K58)))</f>
        <v>512 گیگابایت</v>
      </c>
      <c r="T58" s="43" t="n">
        <f aca="false">IF(S58="","",IFERROR(IFERROR(VALUE(LEFT(S58,FIND(" ",S58)-1)),VALUE(LEFT(S58,LEN(S58)-2)))*IF(OR(ISNUMBER(SEARCH("ترابایت",S58)),ISNUMBER(SEARCH("TB",S58))),1024,1),""))</f>
        <v>512</v>
      </c>
      <c r="U58" s="37" t="str">
        <f aca="false">IF(NOT(ISNUMBER(T58)),"Unknown",IF(T58&lt;=256,"≤ 256 GB",IF(T58&lt;=512,"512 GB","1 TB +")))</f>
        <v>512 GB</v>
      </c>
      <c r="V58" s="45" t="n">
        <f aca="false">IFERROR(VALUE(SUBSTITUTE(LEFT(Raw!L58,FIND(" ",Raw!L58)-1),".",MID(1/2,2,1))),"")</f>
        <v>16</v>
      </c>
      <c r="W58" s="41" t="n">
        <f aca="false">IFERROR(VALUE(SUBSTITUTE(LEFT(Raw!N58,FIND(" ",Raw!N58)-1),".",MID(1/2,2,1))),"")</f>
        <v>2.3</v>
      </c>
      <c r="X58" s="37" t="str">
        <f aca="false">IF(Raw!M58="","",TRIM(Raw!M58))</f>
        <v>NVIDIA GeForce RTX 4050</v>
      </c>
      <c r="Y58" s="37" t="str">
        <f aca="false">IF(X58="","Unknown",IF(ISNUMBER(SEARCH("nvidia",X58)),"NVIDIA",IF(ISNUMBER(SEARCH("amd",X58)),"AMD",IF(ISNUMBER(SEARCH("apple",X58)),"Apple",IF(ISNUMBER(SEARCH("intel",X58)),"Intel","Other")))))</f>
        <v>NVIDIA</v>
      </c>
      <c r="Z58" s="37" t="str">
        <f aca="false">IF(X58="","Unknown",IF(ISNUMBER(SEARCH("RTX",X58))+ISNUMBER(SEARCH("GTX",X58))+ISNUMBER(SEARCH("nvidia",X58))+ISNUMBER(SEARCH("Radeon RX",X58))&gt;0,"Dedicated","Integrated"))</f>
        <v>Dedicated</v>
      </c>
      <c r="AA58" s="37" t="str">
        <f aca="false">IF(ISNUMBER(SEARCH("RTX",X58)),TRIM(MID(X58,SEARCH("RTX",X58),8)),IF(X58="","Unknown",IF(Z58="Dedicated","Dedicated (model n/a)","Integrated")))</f>
        <v>RTX 4050</v>
      </c>
      <c r="AB58" s="37" t="str">
        <f aca="false">IF(ISNUMBER(G58),INDEX(Params!$E$5:$E$9,MATCH(G58,Params!$D$5:$D$9,1)),"Unknown")</f>
        <v>200–300 M</v>
      </c>
      <c r="AC58" s="45" t="n">
        <f aca="false">IF(AND(ISNUMBER(G58),ISNUMBER(Q58)),IF(Q58&gt;0,G58/Q58,""),"")</f>
        <v>18.6875</v>
      </c>
      <c r="AD58" s="39" t="n">
        <f aca="false">IF(OR(p_excl=0,ISNUMBER(SEARCH("لپ",B58))),1,0)</f>
        <v>1</v>
      </c>
      <c r="AE58" s="39" t="n">
        <f aca="false">IF(AND(AD58=1,OR(fBrand="All",D58=fBrand),OR(fCPU="All",O58=fCPU),OR(fGPU="All",Z58=fGPU),OR(fTier="All",AB58=fTier),OR(fRAM="All",R58=fRAM)),1,0)</f>
        <v>1</v>
      </c>
      <c r="AF58" s="39" t="n">
        <f aca="false">IF(AND(AE58=1,ISNUMBER(G58)),1,0)</f>
        <v>1</v>
      </c>
      <c r="AG58" s="39" t="n">
        <f aca="false">IF(AND(AE58=1,L58&gt;0),1,0)</f>
        <v>1</v>
      </c>
      <c r="AH58" s="40" t="n">
        <f aca="false">IF(AF58=1,G58,"")</f>
        <v>299</v>
      </c>
      <c r="AI58" s="39" t="str">
        <f aca="false">IF(COUNTIF($D$2:D58,D58)=1,MAX($AI$1:AI57)+1,"")</f>
        <v/>
      </c>
      <c r="AJ58" s="39" t="n">
        <f aca="false">IF(COUNTIF($P$2:P58,P58)=1,MAX($AJ$1:AJ57)+1,"")</f>
        <v>12</v>
      </c>
      <c r="AK58" s="47" t="n">
        <f aca="false">IF(AG58=1,M58+ROW()/1000000000,"")</f>
        <v>4.52272733072727</v>
      </c>
      <c r="AL58" s="47" t="str">
        <f aca="false">IF(AND(AE58=1,I58&gt;0),I58+ROW()/1000000000,"")</f>
        <v/>
      </c>
      <c r="AM58" s="39" t="n">
        <f aca="false">IF(AND(AF58=1,ISNUMBER(W58),Z58="Dedicated"),1,0)</f>
        <v>1</v>
      </c>
      <c r="AN58" s="39" t="n">
        <f aca="false">SUM($AM$2:AM58)</f>
        <v>17</v>
      </c>
      <c r="AO58" s="39" t="n">
        <f aca="false">IF(AND(AF58=1,ISNUMBER(W58),Z58&lt;&gt;"Dedicated"),1,0)</f>
        <v>0</v>
      </c>
      <c r="AP58" s="39" t="n">
        <f aca="false">SUM($AO$2:AO58)</f>
        <v>34</v>
      </c>
      <c r="AQ58" s="39" t="n">
        <f aca="false">IF(AND(AF58=1,AG58=1),1,0)</f>
        <v>1</v>
      </c>
      <c r="AR58" s="39" t="n">
        <f aca="false">SUM($AQ$2:AQ58)</f>
        <v>56</v>
      </c>
      <c r="AS58" s="45" t="n">
        <f aca="false">IF(AQ58=1,G58,0)</f>
        <v>299</v>
      </c>
      <c r="AT58" s="45" t="n">
        <f aca="false">IF(AQ58=1,K58,0)</f>
        <v>5</v>
      </c>
      <c r="AU58" s="37" t="str">
        <f aca="false">TRIM(IF(Raw!N58="","weight missing; ","")&amp;IF(Raw!K58="","storage missing; ","")&amp;IF(ISNUMBER(FIND(" و ",Raw!K58)),"dual storage - SSD part used; ","")&amp;IF(ISNUMBER(SEARCH("TB",Raw!K58)),"storage written as TB; ","")&amp;IF(Raw!I58="","cpu missing; ","")&amp;IF(Raw!M58="","gpu missing; ","")&amp;IF(Raw!J58="","ram missing; ","")&amp;IF(Raw!L58="","screen missing; ",""))</f>
        <v/>
      </c>
    </row>
    <row r="59" customFormat="false" ht="15" hidden="false" customHeight="false" outlineLevel="0" collapsed="false">
      <c r="A59" s="39" t="n">
        <f aca="false">Raw!A59</f>
        <v>444114</v>
      </c>
      <c r="B59" s="37" t="str">
        <f aca="false">Raw!B59</f>
        <v>لپ تاپ اپل 15.3 اینچی مدل MacBook Air MDVH4 M5 2026 16GB 512GB</v>
      </c>
      <c r="C59" s="37" t="str">
        <f aca="false">LOWER(TRIM(Raw!C59))</f>
        <v>apple</v>
      </c>
      <c r="D59" s="37" t="str">
        <f aca="false">IFERROR(INDEX(Params!$B$5:$B$13,MATCH(C59,Params!$A$5:$A$13,0)),PROPER(C59))</f>
        <v>Apple</v>
      </c>
      <c r="E59" s="37" t="str">
        <f aca="false">IF(Raw!F59,"Available","Out of stock")</f>
        <v>Available</v>
      </c>
      <c r="F59" s="43" t="n">
        <f aca="false">IF(Raw!D59="","",Raw!D59)</f>
        <v>459890000</v>
      </c>
      <c r="G59" s="40" t="n">
        <f aca="false">IF(ISNUMBER(F59),F59/1000000,"")</f>
        <v>459.89</v>
      </c>
      <c r="H59" s="43" t="str">
        <f aca="false">IF(Raw!E59="","",Raw!E59)</f>
        <v/>
      </c>
      <c r="I59" s="42" t="n">
        <f aca="false">IF(AND(ISNUMBER(H59),ISNUMBER(F59)),IF(H59&gt;F59,(H59-F59)/H59,0),0)</f>
        <v>0</v>
      </c>
      <c r="J59" s="39" t="n">
        <f aca="false">IF(I59&gt;0,1,0)</f>
        <v>0</v>
      </c>
      <c r="K59" s="45" t="n">
        <f aca="false">Raw!G59</f>
        <v>3</v>
      </c>
      <c r="L59" s="39" t="n">
        <f aca="false">Raw!H59</f>
        <v>1</v>
      </c>
      <c r="M59" s="41" t="n">
        <f aca="false">IF(L59&gt;0,(L59*K59+p_m*p_c)/(L59+p_m),"")</f>
        <v>4.34090909090909</v>
      </c>
      <c r="N59" s="37" t="str">
        <f aca="false">IF(Raw!I59="","",TRIM(Raw!I59))</f>
        <v>Apple M5 M5</v>
      </c>
      <c r="O59" s="37" t="str">
        <f aca="false">IF(N59="","Unknown",IF(LEFT(N59,5)="Apple","Apple",IF(LEFT(N59,5)="Ryzen","AMD","Intel")))</f>
        <v>Apple</v>
      </c>
      <c r="P59" s="37" t="str">
        <f aca="false">IF(N59="","Unknown",IF(LEFT(N59,5)="Apple","Apple Silicon",IF(LEFT(N59,8)="Ryzen AI","Ryzen AI",TRIM(LEFT(N59,7)))))</f>
        <v>Apple Silicon</v>
      </c>
      <c r="Q59" s="39" t="n">
        <f aca="false">IFERROR(VALUE(LEFT(Raw!J59,FIND(" ",Raw!J59)-1)),"")</f>
        <v>16</v>
      </c>
      <c r="R59" s="37" t="str">
        <f aca="false">IF(NOT(ISNUMBER(Q59)),"Unknown",IF(Q59&lt;=8,"≤ 8 GB",IF(Q59&lt;=16,"12–16 GB","20 GB +")))</f>
        <v>12–16 GB</v>
      </c>
      <c r="S59" s="37" t="str">
        <f aca="false">IF(Raw!K59="","",IF(ISNUMBER(FIND(" و ",Raw!K59)),TRIM(MID(Raw!K59,FIND(" و ",Raw!K59)+3,100)),TRIM(Raw!K59)))</f>
        <v>512 گیگابایت</v>
      </c>
      <c r="T59" s="43" t="n">
        <f aca="false">IF(S59="","",IFERROR(IFERROR(VALUE(LEFT(S59,FIND(" ",S59)-1)),VALUE(LEFT(S59,LEN(S59)-2)))*IF(OR(ISNUMBER(SEARCH("ترابایت",S59)),ISNUMBER(SEARCH("TB",S59))),1024,1),""))</f>
        <v>512</v>
      </c>
      <c r="U59" s="37" t="str">
        <f aca="false">IF(NOT(ISNUMBER(T59)),"Unknown",IF(T59&lt;=256,"≤ 256 GB",IF(T59&lt;=512,"512 GB","1 TB +")))</f>
        <v>512 GB</v>
      </c>
      <c r="V59" s="45" t="n">
        <f aca="false">IFERROR(VALUE(SUBSTITUTE(LEFT(Raw!L59,FIND(" ",Raw!L59)-1),".",MID(1/2,2,1))),"")</f>
        <v>15.3</v>
      </c>
      <c r="W59" s="41" t="n">
        <f aca="false">IFERROR(VALUE(SUBSTITUTE(LEFT(Raw!N59,FIND(" ",Raw!N59)-1),".",MID(1/2,2,1))),"")</f>
        <v>1.24</v>
      </c>
      <c r="X59" s="37" t="str">
        <f aca="false">IF(Raw!M59="","",TRIM(Raw!M59))</f>
        <v>Apple</v>
      </c>
      <c r="Y59" s="37" t="str">
        <f aca="false">IF(X59="","Unknown",IF(ISNUMBER(SEARCH("nvidia",X59)),"NVIDIA",IF(ISNUMBER(SEARCH("amd",X59)),"AMD",IF(ISNUMBER(SEARCH("apple",X59)),"Apple",IF(ISNUMBER(SEARCH("intel",X59)),"Intel","Other")))))</f>
        <v>Apple</v>
      </c>
      <c r="Z59" s="37" t="str">
        <f aca="false">IF(X59="","Unknown",IF(ISNUMBER(SEARCH("RTX",X59))+ISNUMBER(SEARCH("GTX",X59))+ISNUMBER(SEARCH("nvidia",X59))+ISNUMBER(SEARCH("Radeon RX",X59))&gt;0,"Dedicated","Integrated"))</f>
        <v>Integrated</v>
      </c>
      <c r="AA59" s="37" t="str">
        <f aca="false">IF(ISNUMBER(SEARCH("RTX",X59)),TRIM(MID(X59,SEARCH("RTX",X59),8)),IF(X59="","Unknown",IF(Z59="Dedicated","Dedicated (model n/a)","Integrated")))</f>
        <v>Integrated</v>
      </c>
      <c r="AB59" s="37" t="str">
        <f aca="false">IF(ISNUMBER(G59),INDEX(Params!$E$5:$E$9,MATCH(G59,Params!$D$5:$D$9,1)),"Unknown")</f>
        <v>400 M +</v>
      </c>
      <c r="AC59" s="45" t="n">
        <f aca="false">IF(AND(ISNUMBER(G59),ISNUMBER(Q59)),IF(Q59&gt;0,G59/Q59,""),"")</f>
        <v>28.743125</v>
      </c>
      <c r="AD59" s="39" t="n">
        <f aca="false">IF(OR(p_excl=0,ISNUMBER(SEARCH("لپ",B59))),1,0)</f>
        <v>1</v>
      </c>
      <c r="AE59" s="39" t="n">
        <f aca="false">IF(AND(AD59=1,OR(fBrand="All",D59=fBrand),OR(fCPU="All",O59=fCPU),OR(fGPU="All",Z59=fGPU),OR(fTier="All",AB59=fTier),OR(fRAM="All",R59=fRAM)),1,0)</f>
        <v>1</v>
      </c>
      <c r="AF59" s="39" t="n">
        <f aca="false">IF(AND(AE59=1,ISNUMBER(G59)),1,0)</f>
        <v>1</v>
      </c>
      <c r="AG59" s="39" t="n">
        <f aca="false">IF(AND(AE59=1,L59&gt;0),1,0)</f>
        <v>1</v>
      </c>
      <c r="AH59" s="40" t="n">
        <f aca="false">IF(AF59=1,G59,"")</f>
        <v>459.89</v>
      </c>
      <c r="AI59" s="39" t="str">
        <f aca="false">IF(COUNTIF($D$2:D59,D59)=1,MAX($AI$1:AI58)+1,"")</f>
        <v/>
      </c>
      <c r="AJ59" s="39" t="str">
        <f aca="false">IF(COUNTIF($P$2:P59,P59)=1,MAX($AJ$1:AJ58)+1,"")</f>
        <v/>
      </c>
      <c r="AK59" s="47" t="n">
        <f aca="false">IF(AG59=1,M59+ROW()/1000000000,"")</f>
        <v>4.34090914990909</v>
      </c>
      <c r="AL59" s="47" t="str">
        <f aca="false">IF(AND(AE59=1,I59&gt;0),I59+ROW()/1000000000,"")</f>
        <v/>
      </c>
      <c r="AM59" s="39" t="n">
        <f aca="false">IF(AND(AF59=1,ISNUMBER(W59),Z59="Dedicated"),1,0)</f>
        <v>0</v>
      </c>
      <c r="AN59" s="39" t="n">
        <f aca="false">SUM($AM$2:AM59)</f>
        <v>17</v>
      </c>
      <c r="AO59" s="39" t="n">
        <f aca="false">IF(AND(AF59=1,ISNUMBER(W59),Z59&lt;&gt;"Dedicated"),1,0)</f>
        <v>1</v>
      </c>
      <c r="AP59" s="39" t="n">
        <f aca="false">SUM($AO$2:AO59)</f>
        <v>35</v>
      </c>
      <c r="AQ59" s="39" t="n">
        <f aca="false">IF(AND(AF59=1,AG59=1),1,0)</f>
        <v>1</v>
      </c>
      <c r="AR59" s="39" t="n">
        <f aca="false">SUM($AQ$2:AQ59)</f>
        <v>57</v>
      </c>
      <c r="AS59" s="45" t="n">
        <f aca="false">IF(AQ59=1,G59,0)</f>
        <v>459.89</v>
      </c>
      <c r="AT59" s="45" t="n">
        <f aca="false">IF(AQ59=1,K59,0)</f>
        <v>3</v>
      </c>
      <c r="AU59" s="37" t="str">
        <f aca="false">TRIM(IF(Raw!N59="","weight missing; ","")&amp;IF(Raw!K59="","storage missing; ","")&amp;IF(ISNUMBER(FIND(" و ",Raw!K59)),"dual storage - SSD part used; ","")&amp;IF(ISNUMBER(SEARCH("TB",Raw!K59)),"storage written as TB; ","")&amp;IF(Raw!I59="","cpu missing; ","")&amp;IF(Raw!M59="","gpu missing; ","")&amp;IF(Raw!J59="","ram missing; ","")&amp;IF(Raw!L59="","screen missing; ",""))</f>
        <v/>
      </c>
    </row>
    <row r="60" customFormat="false" ht="15" hidden="false" customHeight="false" outlineLevel="0" collapsed="false">
      <c r="A60" s="39" t="n">
        <f aca="false">Raw!A60</f>
        <v>442896</v>
      </c>
      <c r="B60" s="37" t="str">
        <f aca="false">Raw!B60</f>
        <v>لپ تاپ اپل 13.6 اینچی مدل MacBook Air MDH74 M5 2026 16GB 512GB</v>
      </c>
      <c r="C60" s="37" t="str">
        <f aca="false">LOWER(TRIM(Raw!C60))</f>
        <v>apple</v>
      </c>
      <c r="D60" s="37" t="str">
        <f aca="false">IFERROR(INDEX(Params!$B$5:$B$13,MATCH(C60,Params!$A$5:$A$13,0)),PROPER(C60))</f>
        <v>Apple</v>
      </c>
      <c r="E60" s="37" t="str">
        <f aca="false">IF(Raw!F60,"Available","Out of stock")</f>
        <v>Available</v>
      </c>
      <c r="F60" s="43" t="n">
        <f aca="false">IF(Raw!D60="","",Raw!D60)</f>
        <v>380300000</v>
      </c>
      <c r="G60" s="40" t="n">
        <f aca="false">IF(ISNUMBER(F60),F60/1000000,"")</f>
        <v>380.3</v>
      </c>
      <c r="H60" s="43" t="str">
        <f aca="false">IF(Raw!E60="","",Raw!E60)</f>
        <v/>
      </c>
      <c r="I60" s="42" t="n">
        <f aca="false">IF(AND(ISNUMBER(H60),ISNUMBER(F60)),IF(H60&gt;F60,(H60-F60)/H60,0),0)</f>
        <v>0</v>
      </c>
      <c r="J60" s="39" t="n">
        <f aca="false">IF(I60&gt;0,1,0)</f>
        <v>0</v>
      </c>
      <c r="K60" s="45" t="n">
        <f aca="false">Raw!G60</f>
        <v>5</v>
      </c>
      <c r="L60" s="39" t="n">
        <f aca="false">Raw!H60</f>
        <v>1</v>
      </c>
      <c r="M60" s="41" t="n">
        <f aca="false">IF(L60&gt;0,(L60*K60+p_m*p_c)/(L60+p_m),"")</f>
        <v>4.52272727272727</v>
      </c>
      <c r="N60" s="37" t="str">
        <f aca="false">IF(Raw!I60="","",TRIM(Raw!I60))</f>
        <v>Apple M5 M5</v>
      </c>
      <c r="O60" s="37" t="str">
        <f aca="false">IF(N60="","Unknown",IF(LEFT(N60,5)="Apple","Apple",IF(LEFT(N60,5)="Ryzen","AMD","Intel")))</f>
        <v>Apple</v>
      </c>
      <c r="P60" s="37" t="str">
        <f aca="false">IF(N60="","Unknown",IF(LEFT(N60,5)="Apple","Apple Silicon",IF(LEFT(N60,8)="Ryzen AI","Ryzen AI",TRIM(LEFT(N60,7)))))</f>
        <v>Apple Silicon</v>
      </c>
      <c r="Q60" s="39" t="n">
        <f aca="false">IFERROR(VALUE(LEFT(Raw!J60,FIND(" ",Raw!J60)-1)),"")</f>
        <v>16</v>
      </c>
      <c r="R60" s="37" t="str">
        <f aca="false">IF(NOT(ISNUMBER(Q60)),"Unknown",IF(Q60&lt;=8,"≤ 8 GB",IF(Q60&lt;=16,"12–16 GB","20 GB +")))</f>
        <v>12–16 GB</v>
      </c>
      <c r="S60" s="37" t="str">
        <f aca="false">IF(Raw!K60="","",IF(ISNUMBER(FIND(" و ",Raw!K60)),TRIM(MID(Raw!K60,FIND(" و ",Raw!K60)+3,100)),TRIM(Raw!K60)))</f>
        <v>512 گیگابایت</v>
      </c>
      <c r="T60" s="43" t="n">
        <f aca="false">IF(S60="","",IFERROR(IFERROR(VALUE(LEFT(S60,FIND(" ",S60)-1)),VALUE(LEFT(S60,LEN(S60)-2)))*IF(OR(ISNUMBER(SEARCH("ترابایت",S60)),ISNUMBER(SEARCH("TB",S60))),1024,1),""))</f>
        <v>512</v>
      </c>
      <c r="U60" s="37" t="str">
        <f aca="false">IF(NOT(ISNUMBER(T60)),"Unknown",IF(T60&lt;=256,"≤ 256 GB",IF(T60&lt;=512,"512 GB","1 TB +")))</f>
        <v>512 GB</v>
      </c>
      <c r="V60" s="45" t="n">
        <f aca="false">IFERROR(VALUE(SUBSTITUTE(LEFT(Raw!L60,FIND(" ",Raw!L60)-1),".",MID(1/2,2,1))),"")</f>
        <v>13.6</v>
      </c>
      <c r="W60" s="41" t="n">
        <f aca="false">IFERROR(VALUE(SUBSTITUTE(LEFT(Raw!N60,FIND(" ",Raw!N60)-1),".",MID(1/2,2,1))),"")</f>
        <v>1.24</v>
      </c>
      <c r="X60" s="37" t="str">
        <f aca="false">IF(Raw!M60="","",TRIM(Raw!M60))</f>
        <v>Apple</v>
      </c>
      <c r="Y60" s="37" t="str">
        <f aca="false">IF(X60="","Unknown",IF(ISNUMBER(SEARCH("nvidia",X60)),"NVIDIA",IF(ISNUMBER(SEARCH("amd",X60)),"AMD",IF(ISNUMBER(SEARCH("apple",X60)),"Apple",IF(ISNUMBER(SEARCH("intel",X60)),"Intel","Other")))))</f>
        <v>Apple</v>
      </c>
      <c r="Z60" s="37" t="str">
        <f aca="false">IF(X60="","Unknown",IF(ISNUMBER(SEARCH("RTX",X60))+ISNUMBER(SEARCH("GTX",X60))+ISNUMBER(SEARCH("nvidia",X60))+ISNUMBER(SEARCH("Radeon RX",X60))&gt;0,"Dedicated","Integrated"))</f>
        <v>Integrated</v>
      </c>
      <c r="AA60" s="37" t="str">
        <f aca="false">IF(ISNUMBER(SEARCH("RTX",X60)),TRIM(MID(X60,SEARCH("RTX",X60),8)),IF(X60="","Unknown",IF(Z60="Dedicated","Dedicated (model n/a)","Integrated")))</f>
        <v>Integrated</v>
      </c>
      <c r="AB60" s="37" t="str">
        <f aca="false">IF(ISNUMBER(G60),INDEX(Params!$E$5:$E$9,MATCH(G60,Params!$D$5:$D$9,1)),"Unknown")</f>
        <v>300–400 M</v>
      </c>
      <c r="AC60" s="45" t="n">
        <f aca="false">IF(AND(ISNUMBER(G60),ISNUMBER(Q60)),IF(Q60&gt;0,G60/Q60,""),"")</f>
        <v>23.76875</v>
      </c>
      <c r="AD60" s="39" t="n">
        <f aca="false">IF(OR(p_excl=0,ISNUMBER(SEARCH("لپ",B60))),1,0)</f>
        <v>1</v>
      </c>
      <c r="AE60" s="39" t="n">
        <f aca="false">IF(AND(AD60=1,OR(fBrand="All",D60=fBrand),OR(fCPU="All",O60=fCPU),OR(fGPU="All",Z60=fGPU),OR(fTier="All",AB60=fTier),OR(fRAM="All",R60=fRAM)),1,0)</f>
        <v>1</v>
      </c>
      <c r="AF60" s="39" t="n">
        <f aca="false">IF(AND(AE60=1,ISNUMBER(G60)),1,0)</f>
        <v>1</v>
      </c>
      <c r="AG60" s="39" t="n">
        <f aca="false">IF(AND(AE60=1,L60&gt;0),1,0)</f>
        <v>1</v>
      </c>
      <c r="AH60" s="40" t="n">
        <f aca="false">IF(AF60=1,G60,"")</f>
        <v>380.3</v>
      </c>
      <c r="AI60" s="39" t="str">
        <f aca="false">IF(COUNTIF($D$2:D60,D60)=1,MAX($AI$1:AI59)+1,"")</f>
        <v/>
      </c>
      <c r="AJ60" s="39" t="str">
        <f aca="false">IF(COUNTIF($P$2:P60,P60)=1,MAX($AJ$1:AJ59)+1,"")</f>
        <v/>
      </c>
      <c r="AK60" s="47" t="n">
        <f aca="false">IF(AG60=1,M60+ROW()/1000000000,"")</f>
        <v>4.52272733272727</v>
      </c>
      <c r="AL60" s="47" t="str">
        <f aca="false">IF(AND(AE60=1,I60&gt;0),I60+ROW()/1000000000,"")</f>
        <v/>
      </c>
      <c r="AM60" s="39" t="n">
        <f aca="false">IF(AND(AF60=1,ISNUMBER(W60),Z60="Dedicated"),1,0)</f>
        <v>0</v>
      </c>
      <c r="AN60" s="39" t="n">
        <f aca="false">SUM($AM$2:AM60)</f>
        <v>17</v>
      </c>
      <c r="AO60" s="39" t="n">
        <f aca="false">IF(AND(AF60=1,ISNUMBER(W60),Z60&lt;&gt;"Dedicated"),1,0)</f>
        <v>1</v>
      </c>
      <c r="AP60" s="39" t="n">
        <f aca="false">SUM($AO$2:AO60)</f>
        <v>36</v>
      </c>
      <c r="AQ60" s="39" t="n">
        <f aca="false">IF(AND(AF60=1,AG60=1),1,0)</f>
        <v>1</v>
      </c>
      <c r="AR60" s="39" t="n">
        <f aca="false">SUM($AQ$2:AQ60)</f>
        <v>58</v>
      </c>
      <c r="AS60" s="45" t="n">
        <f aca="false">IF(AQ60=1,G60,0)</f>
        <v>380.3</v>
      </c>
      <c r="AT60" s="45" t="n">
        <f aca="false">IF(AQ60=1,K60,0)</f>
        <v>5</v>
      </c>
      <c r="AU60" s="37" t="str">
        <f aca="false">TRIM(IF(Raw!N60="","weight missing; ","")&amp;IF(Raw!K60="","storage missing; ","")&amp;IF(ISNUMBER(FIND(" و ",Raw!K60)),"dual storage - SSD part used; ","")&amp;IF(ISNUMBER(SEARCH("TB",Raw!K60)),"storage written as TB; ","")&amp;IF(Raw!I60="","cpu missing; ","")&amp;IF(Raw!M60="","gpu missing; ","")&amp;IF(Raw!J60="","ram missing; ","")&amp;IF(Raw!L60="","screen missing; ",""))</f>
        <v/>
      </c>
    </row>
    <row r="61" customFormat="false" ht="15" hidden="false" customHeight="false" outlineLevel="0" collapsed="false">
      <c r="A61" s="39" t="n">
        <f aca="false">Raw!A61</f>
        <v>239896</v>
      </c>
      <c r="B61" s="37" t="str">
        <f aca="false">Raw!B61</f>
        <v>لپ تاپ اچ پی 15.6 اینچی مدل Victus 15 FA2082WM i5 13420H 16GB 1TB RTX4050</v>
      </c>
      <c r="C61" s="37" t="str">
        <f aca="false">LOWER(TRIM(Raw!C61))</f>
        <v>hp</v>
      </c>
      <c r="D61" s="37" t="str">
        <f aca="false">IFERROR(INDEX(Params!$B$5:$B$13,MATCH(C61,Params!$A$5:$A$13,0)),PROPER(C61))</f>
        <v>HP</v>
      </c>
      <c r="E61" s="37" t="str">
        <f aca="false">IF(Raw!F61,"Available","Out of stock")</f>
        <v>Available</v>
      </c>
      <c r="F61" s="43" t="n">
        <f aca="false">IF(Raw!D61="","",Raw!D61)</f>
        <v>280000000</v>
      </c>
      <c r="G61" s="40" t="n">
        <f aca="false">IF(ISNUMBER(F61),F61/1000000,"")</f>
        <v>280</v>
      </c>
      <c r="H61" s="43" t="str">
        <f aca="false">IF(Raw!E61="","",Raw!E61)</f>
        <v/>
      </c>
      <c r="I61" s="42" t="n">
        <f aca="false">IF(AND(ISNUMBER(H61),ISNUMBER(F61)),IF(H61&gt;F61,(H61-F61)/H61,0),0)</f>
        <v>0</v>
      </c>
      <c r="J61" s="39" t="n">
        <f aca="false">IF(I61&gt;0,1,0)</f>
        <v>0</v>
      </c>
      <c r="K61" s="45" t="n">
        <f aca="false">Raw!G61</f>
        <v>4.3</v>
      </c>
      <c r="L61" s="39" t="n">
        <f aca="false">Raw!H61</f>
        <v>6</v>
      </c>
      <c r="M61" s="41" t="n">
        <f aca="false">IF(L61&gt;0,(L61*K61+p_m*p_c)/(L61+p_m),"")</f>
        <v>4.409375</v>
      </c>
      <c r="N61" s="37" t="str">
        <f aca="false">IF(Raw!I61="","",TRIM(Raw!I61))</f>
        <v>Core i5 13420H</v>
      </c>
      <c r="O61" s="37" t="str">
        <f aca="false">IF(N61="","Unknown",IF(LEFT(N61,5)="Apple","Apple",IF(LEFT(N61,5)="Ryzen","AMD","Intel")))</f>
        <v>Intel</v>
      </c>
      <c r="P61" s="37" t="str">
        <f aca="false">IF(N61="","Unknown",IF(LEFT(N61,5)="Apple","Apple Silicon",IF(LEFT(N61,8)="Ryzen AI","Ryzen AI",TRIM(LEFT(N61,7)))))</f>
        <v>Core i5</v>
      </c>
      <c r="Q61" s="39" t="n">
        <f aca="false">IFERROR(VALUE(LEFT(Raw!J61,FIND(" ",Raw!J61)-1)),"")</f>
        <v>16</v>
      </c>
      <c r="R61" s="37" t="str">
        <f aca="false">IF(NOT(ISNUMBER(Q61)),"Unknown",IF(Q61&lt;=8,"≤ 8 GB",IF(Q61&lt;=16,"12–16 GB","20 GB +")))</f>
        <v>12–16 GB</v>
      </c>
      <c r="S61" s="37" t="str">
        <f aca="false">IF(Raw!K61="","",IF(ISNUMBER(FIND(" و ",Raw!K61)),TRIM(MID(Raw!K61,FIND(" و ",Raw!K61)+3,100)),TRIM(Raw!K61)))</f>
        <v>1TB</v>
      </c>
      <c r="T61" s="43" t="n">
        <f aca="false">IF(S61="","",IFERROR(IFERROR(VALUE(LEFT(S61,FIND(" ",S61)-1)),VALUE(LEFT(S61,LEN(S61)-2)))*IF(OR(ISNUMBER(SEARCH("ترابایت",S61)),ISNUMBER(SEARCH("TB",S61))),1024,1),""))</f>
        <v>1024</v>
      </c>
      <c r="U61" s="37" t="str">
        <f aca="false">IF(NOT(ISNUMBER(T61)),"Unknown",IF(T61&lt;=256,"≤ 256 GB",IF(T61&lt;=512,"512 GB","1 TB +")))</f>
        <v>1 TB +</v>
      </c>
      <c r="V61" s="45" t="n">
        <f aca="false">IFERROR(VALUE(SUBSTITUTE(LEFT(Raw!L61,FIND(" ",Raw!L61)-1),".",MID(1/2,2,1))),"")</f>
        <v>15.6</v>
      </c>
      <c r="W61" s="41" t="n">
        <f aca="false">IFERROR(VALUE(SUBSTITUTE(LEFT(Raw!N61,FIND(" ",Raw!N61)-1),".",MID(1/2,2,1))),"")</f>
        <v>2.29</v>
      </c>
      <c r="X61" s="37" t="str">
        <f aca="false">IF(Raw!M61="","",TRIM(Raw!M61))</f>
        <v>NVIDIA GeForce RTX 4050</v>
      </c>
      <c r="Y61" s="37" t="str">
        <f aca="false">IF(X61="","Unknown",IF(ISNUMBER(SEARCH("nvidia",X61)),"NVIDIA",IF(ISNUMBER(SEARCH("amd",X61)),"AMD",IF(ISNUMBER(SEARCH("apple",X61)),"Apple",IF(ISNUMBER(SEARCH("intel",X61)),"Intel","Other")))))</f>
        <v>NVIDIA</v>
      </c>
      <c r="Z61" s="37" t="str">
        <f aca="false">IF(X61="","Unknown",IF(ISNUMBER(SEARCH("RTX",X61))+ISNUMBER(SEARCH("GTX",X61))+ISNUMBER(SEARCH("nvidia",X61))+ISNUMBER(SEARCH("Radeon RX",X61))&gt;0,"Dedicated","Integrated"))</f>
        <v>Dedicated</v>
      </c>
      <c r="AA61" s="37" t="str">
        <f aca="false">IF(ISNUMBER(SEARCH("RTX",X61)),TRIM(MID(X61,SEARCH("RTX",X61),8)),IF(X61="","Unknown",IF(Z61="Dedicated","Dedicated (model n/a)","Integrated")))</f>
        <v>RTX 4050</v>
      </c>
      <c r="AB61" s="37" t="str">
        <f aca="false">IF(ISNUMBER(G61),INDEX(Params!$E$5:$E$9,MATCH(G61,Params!$D$5:$D$9,1)),"Unknown")</f>
        <v>200–300 M</v>
      </c>
      <c r="AC61" s="45" t="n">
        <f aca="false">IF(AND(ISNUMBER(G61),ISNUMBER(Q61)),IF(Q61&gt;0,G61/Q61,""),"")</f>
        <v>17.5</v>
      </c>
      <c r="AD61" s="39" t="n">
        <f aca="false">IF(OR(p_excl=0,ISNUMBER(SEARCH("لپ",B61))),1,0)</f>
        <v>1</v>
      </c>
      <c r="AE61" s="39" t="n">
        <f aca="false">IF(AND(AD61=1,OR(fBrand="All",D61=fBrand),OR(fCPU="All",O61=fCPU),OR(fGPU="All",Z61=fGPU),OR(fTier="All",AB61=fTier),OR(fRAM="All",R61=fRAM)),1,0)</f>
        <v>1</v>
      </c>
      <c r="AF61" s="39" t="n">
        <f aca="false">IF(AND(AE61=1,ISNUMBER(G61)),1,0)</f>
        <v>1</v>
      </c>
      <c r="AG61" s="39" t="n">
        <f aca="false">IF(AND(AE61=1,L61&gt;0),1,0)</f>
        <v>1</v>
      </c>
      <c r="AH61" s="40" t="n">
        <f aca="false">IF(AF61=1,G61,"")</f>
        <v>280</v>
      </c>
      <c r="AI61" s="39" t="str">
        <f aca="false">IF(COUNTIF($D$2:D61,D61)=1,MAX($AI$1:AI60)+1,"")</f>
        <v/>
      </c>
      <c r="AJ61" s="39" t="str">
        <f aca="false">IF(COUNTIF($P$2:P61,P61)=1,MAX($AJ$1:AJ60)+1,"")</f>
        <v/>
      </c>
      <c r="AK61" s="47" t="n">
        <f aca="false">IF(AG61=1,M61+ROW()/1000000000,"")</f>
        <v>4.409375061</v>
      </c>
      <c r="AL61" s="47" t="str">
        <f aca="false">IF(AND(AE61=1,I61&gt;0),I61+ROW()/1000000000,"")</f>
        <v/>
      </c>
      <c r="AM61" s="39" t="n">
        <f aca="false">IF(AND(AF61=1,ISNUMBER(W61),Z61="Dedicated"),1,0)</f>
        <v>1</v>
      </c>
      <c r="AN61" s="39" t="n">
        <f aca="false">SUM($AM$2:AM61)</f>
        <v>18</v>
      </c>
      <c r="AO61" s="39" t="n">
        <f aca="false">IF(AND(AF61=1,ISNUMBER(W61),Z61&lt;&gt;"Dedicated"),1,0)</f>
        <v>0</v>
      </c>
      <c r="AP61" s="39" t="n">
        <f aca="false">SUM($AO$2:AO61)</f>
        <v>36</v>
      </c>
      <c r="AQ61" s="39" t="n">
        <f aca="false">IF(AND(AF61=1,AG61=1),1,0)</f>
        <v>1</v>
      </c>
      <c r="AR61" s="39" t="n">
        <f aca="false">SUM($AQ$2:AQ61)</f>
        <v>59</v>
      </c>
      <c r="AS61" s="45" t="n">
        <f aca="false">IF(AQ61=1,G61,0)</f>
        <v>280</v>
      </c>
      <c r="AT61" s="45" t="n">
        <f aca="false">IF(AQ61=1,K61,0)</f>
        <v>4.3</v>
      </c>
      <c r="AU61" s="37" t="str">
        <f aca="false">TRIM(IF(Raw!N61="","weight missing; ","")&amp;IF(Raw!K61="","storage missing; ","")&amp;IF(ISNUMBER(FIND(" و ",Raw!K61)),"dual storage - SSD part used; ","")&amp;IF(ISNUMBER(SEARCH("TB",Raw!K61)),"storage written as TB; ","")&amp;IF(Raw!I61="","cpu missing; ","")&amp;IF(Raw!M61="","gpu missing; ","")&amp;IF(Raw!J61="","ram missing; ","")&amp;IF(Raw!L61="","screen missing; ",""))</f>
        <v>storage written as TB;</v>
      </c>
    </row>
    <row r="62" customFormat="false" ht="15" hidden="false" customHeight="false" outlineLevel="0" collapsed="false">
      <c r="A62" s="39" t="n">
        <f aca="false">Raw!A62</f>
        <v>239881</v>
      </c>
      <c r="B62" s="37" t="str">
        <f aca="false">Raw!B62</f>
        <v>لپ تاپ اچ پی 15.6 اینچی مدل Victus 15 FA2082WM i5 13420H 32GB 512GB RTX4050</v>
      </c>
      <c r="C62" s="37" t="str">
        <f aca="false">LOWER(TRIM(Raw!C62))</f>
        <v>hp</v>
      </c>
      <c r="D62" s="37" t="str">
        <f aca="false">IFERROR(INDEX(Params!$B$5:$B$13,MATCH(C62,Params!$A$5:$A$13,0)),PROPER(C62))</f>
        <v>HP</v>
      </c>
      <c r="E62" s="37" t="str">
        <f aca="false">IF(Raw!F62,"Available","Out of stock")</f>
        <v>Available</v>
      </c>
      <c r="F62" s="43" t="n">
        <f aca="false">IF(Raw!D62="","",Raw!D62)</f>
        <v>314000000</v>
      </c>
      <c r="G62" s="40" t="n">
        <f aca="false">IF(ISNUMBER(F62),F62/1000000,"")</f>
        <v>314</v>
      </c>
      <c r="H62" s="43" t="str">
        <f aca="false">IF(Raw!E62="","",Raw!E62)</f>
        <v/>
      </c>
      <c r="I62" s="42" t="n">
        <f aca="false">IF(AND(ISNUMBER(H62),ISNUMBER(F62)),IF(H62&gt;F62,(H62-F62)/H62,0),0)</f>
        <v>0</v>
      </c>
      <c r="J62" s="39" t="n">
        <f aca="false">IF(I62&gt;0,1,0)</f>
        <v>0</v>
      </c>
      <c r="K62" s="45" t="n">
        <f aca="false">Raw!G62</f>
        <v>5</v>
      </c>
      <c r="L62" s="39" t="n">
        <f aca="false">Raw!H62</f>
        <v>2</v>
      </c>
      <c r="M62" s="41" t="n">
        <f aca="false">IF(L62&gt;0,(L62*K62+p_m*p_c)/(L62+p_m),"")</f>
        <v>4.5625</v>
      </c>
      <c r="N62" s="37" t="str">
        <f aca="false">IF(Raw!I62="","",TRIM(Raw!I62))</f>
        <v>Core i5 13420H</v>
      </c>
      <c r="O62" s="37" t="str">
        <f aca="false">IF(N62="","Unknown",IF(LEFT(N62,5)="Apple","Apple",IF(LEFT(N62,5)="Ryzen","AMD","Intel")))</f>
        <v>Intel</v>
      </c>
      <c r="P62" s="37" t="str">
        <f aca="false">IF(N62="","Unknown",IF(LEFT(N62,5)="Apple","Apple Silicon",IF(LEFT(N62,8)="Ryzen AI","Ryzen AI",TRIM(LEFT(N62,7)))))</f>
        <v>Core i5</v>
      </c>
      <c r="Q62" s="39" t="n">
        <f aca="false">IFERROR(VALUE(LEFT(Raw!J62,FIND(" ",Raw!J62)-1)),"")</f>
        <v>32</v>
      </c>
      <c r="R62" s="37" t="str">
        <f aca="false">IF(NOT(ISNUMBER(Q62)),"Unknown",IF(Q62&lt;=8,"≤ 8 GB",IF(Q62&lt;=16,"12–16 GB","20 GB +")))</f>
        <v>20 GB +</v>
      </c>
      <c r="S62" s="37" t="str">
        <f aca="false">IF(Raw!K62="","",IF(ISNUMBER(FIND(" و ",Raw!K62)),TRIM(MID(Raw!K62,FIND(" و ",Raw!K62)+3,100)),TRIM(Raw!K62)))</f>
        <v>512 گیگابایت</v>
      </c>
      <c r="T62" s="43" t="n">
        <f aca="false">IF(S62="","",IFERROR(IFERROR(VALUE(LEFT(S62,FIND(" ",S62)-1)),VALUE(LEFT(S62,LEN(S62)-2)))*IF(OR(ISNUMBER(SEARCH("ترابایت",S62)),ISNUMBER(SEARCH("TB",S62))),1024,1),""))</f>
        <v>512</v>
      </c>
      <c r="U62" s="37" t="str">
        <f aca="false">IF(NOT(ISNUMBER(T62)),"Unknown",IF(T62&lt;=256,"≤ 256 GB",IF(T62&lt;=512,"512 GB","1 TB +")))</f>
        <v>512 GB</v>
      </c>
      <c r="V62" s="45" t="n">
        <f aca="false">IFERROR(VALUE(SUBSTITUTE(LEFT(Raw!L62,FIND(" ",Raw!L62)-1),".",MID(1/2,2,1))),"")</f>
        <v>15.6</v>
      </c>
      <c r="W62" s="41" t="n">
        <f aca="false">IFERROR(VALUE(SUBSTITUTE(LEFT(Raw!N62,FIND(" ",Raw!N62)-1),".",MID(1/2,2,1))),"")</f>
        <v>2.29</v>
      </c>
      <c r="X62" s="37" t="str">
        <f aca="false">IF(Raw!M62="","",TRIM(Raw!M62))</f>
        <v>NVIDIA GeForce RTX 4050</v>
      </c>
      <c r="Y62" s="37" t="str">
        <f aca="false">IF(X62="","Unknown",IF(ISNUMBER(SEARCH("nvidia",X62)),"NVIDIA",IF(ISNUMBER(SEARCH("amd",X62)),"AMD",IF(ISNUMBER(SEARCH("apple",X62)),"Apple",IF(ISNUMBER(SEARCH("intel",X62)),"Intel","Other")))))</f>
        <v>NVIDIA</v>
      </c>
      <c r="Z62" s="37" t="str">
        <f aca="false">IF(X62="","Unknown",IF(ISNUMBER(SEARCH("RTX",X62))+ISNUMBER(SEARCH("GTX",X62))+ISNUMBER(SEARCH("nvidia",X62))+ISNUMBER(SEARCH("Radeon RX",X62))&gt;0,"Dedicated","Integrated"))</f>
        <v>Dedicated</v>
      </c>
      <c r="AA62" s="37" t="str">
        <f aca="false">IF(ISNUMBER(SEARCH("RTX",X62)),TRIM(MID(X62,SEARCH("RTX",X62),8)),IF(X62="","Unknown",IF(Z62="Dedicated","Dedicated (model n/a)","Integrated")))</f>
        <v>RTX 4050</v>
      </c>
      <c r="AB62" s="37" t="str">
        <f aca="false">IF(ISNUMBER(G62),INDEX(Params!$E$5:$E$9,MATCH(G62,Params!$D$5:$D$9,1)),"Unknown")</f>
        <v>300–400 M</v>
      </c>
      <c r="AC62" s="45" t="n">
        <f aca="false">IF(AND(ISNUMBER(G62),ISNUMBER(Q62)),IF(Q62&gt;0,G62/Q62,""),"")</f>
        <v>9.8125</v>
      </c>
      <c r="AD62" s="39" t="n">
        <f aca="false">IF(OR(p_excl=0,ISNUMBER(SEARCH("لپ",B62))),1,0)</f>
        <v>1</v>
      </c>
      <c r="AE62" s="39" t="n">
        <f aca="false">IF(AND(AD62=1,OR(fBrand="All",D62=fBrand),OR(fCPU="All",O62=fCPU),OR(fGPU="All",Z62=fGPU),OR(fTier="All",AB62=fTier),OR(fRAM="All",R62=fRAM)),1,0)</f>
        <v>1</v>
      </c>
      <c r="AF62" s="39" t="n">
        <f aca="false">IF(AND(AE62=1,ISNUMBER(G62)),1,0)</f>
        <v>1</v>
      </c>
      <c r="AG62" s="39" t="n">
        <f aca="false">IF(AND(AE62=1,L62&gt;0),1,0)</f>
        <v>1</v>
      </c>
      <c r="AH62" s="40" t="n">
        <f aca="false">IF(AF62=1,G62,"")</f>
        <v>314</v>
      </c>
      <c r="AI62" s="39" t="str">
        <f aca="false">IF(COUNTIF($D$2:D62,D62)=1,MAX($AI$1:AI61)+1,"")</f>
        <v/>
      </c>
      <c r="AJ62" s="39" t="str">
        <f aca="false">IF(COUNTIF($P$2:P62,P62)=1,MAX($AJ$1:AJ61)+1,"")</f>
        <v/>
      </c>
      <c r="AK62" s="47" t="n">
        <f aca="false">IF(AG62=1,M62+ROW()/1000000000,"")</f>
        <v>4.562500062</v>
      </c>
      <c r="AL62" s="47" t="str">
        <f aca="false">IF(AND(AE62=1,I62&gt;0),I62+ROW()/1000000000,"")</f>
        <v/>
      </c>
      <c r="AM62" s="39" t="n">
        <f aca="false">IF(AND(AF62=1,ISNUMBER(W62),Z62="Dedicated"),1,0)</f>
        <v>1</v>
      </c>
      <c r="AN62" s="39" t="n">
        <f aca="false">SUM($AM$2:AM62)</f>
        <v>19</v>
      </c>
      <c r="AO62" s="39" t="n">
        <f aca="false">IF(AND(AF62=1,ISNUMBER(W62),Z62&lt;&gt;"Dedicated"),1,0)</f>
        <v>0</v>
      </c>
      <c r="AP62" s="39" t="n">
        <f aca="false">SUM($AO$2:AO62)</f>
        <v>36</v>
      </c>
      <c r="AQ62" s="39" t="n">
        <f aca="false">IF(AND(AF62=1,AG62=1),1,0)</f>
        <v>1</v>
      </c>
      <c r="AR62" s="39" t="n">
        <f aca="false">SUM($AQ$2:AQ62)</f>
        <v>60</v>
      </c>
      <c r="AS62" s="45" t="n">
        <f aca="false">IF(AQ62=1,G62,0)</f>
        <v>314</v>
      </c>
      <c r="AT62" s="45" t="n">
        <f aca="false">IF(AQ62=1,K62,0)</f>
        <v>5</v>
      </c>
      <c r="AU62" s="37" t="str">
        <f aca="false">TRIM(IF(Raw!N62="","weight missing; ","")&amp;IF(Raw!K62="","storage missing; ","")&amp;IF(ISNUMBER(FIND(" و ",Raw!K62)),"dual storage - SSD part used; ","")&amp;IF(ISNUMBER(SEARCH("TB",Raw!K62)),"storage written as TB; ","")&amp;IF(Raw!I62="","cpu missing; ","")&amp;IF(Raw!M62="","gpu missing; ","")&amp;IF(Raw!J62="","ram missing; ","")&amp;IF(Raw!L62="","screen missing; ",""))</f>
        <v/>
      </c>
    </row>
    <row r="63" customFormat="false" ht="15" hidden="false" customHeight="false" outlineLevel="0" collapsed="false">
      <c r="A63" s="39" t="n">
        <f aca="false">Raw!A63</f>
        <v>163901</v>
      </c>
      <c r="B63" s="37" t="str">
        <f aca="false">Raw!B63</f>
        <v>لپ تاپ لنوو 15.6 اینچی V15 i7 13620H 16GB 512GB</v>
      </c>
      <c r="C63" s="37" t="str">
        <f aca="false">LOWER(TRIM(Raw!C63))</f>
        <v>lenovo</v>
      </c>
      <c r="D63" s="37" t="str">
        <f aca="false">IFERROR(INDEX(Params!$B$5:$B$13,MATCH(C63,Params!$A$5:$A$13,0)),PROPER(C63))</f>
        <v>Lenovo</v>
      </c>
      <c r="E63" s="37" t="str">
        <f aca="false">IF(Raw!F63,"Available","Out of stock")</f>
        <v>Available</v>
      </c>
      <c r="F63" s="43" t="n">
        <f aca="false">IF(Raw!D63="","",Raw!D63)</f>
        <v>215500000</v>
      </c>
      <c r="G63" s="40" t="n">
        <f aca="false">IF(ISNUMBER(F63),F63/1000000,"")</f>
        <v>215.5</v>
      </c>
      <c r="H63" s="43" t="str">
        <f aca="false">IF(Raw!E63="","",Raw!E63)</f>
        <v/>
      </c>
      <c r="I63" s="42" t="n">
        <f aca="false">IF(AND(ISNUMBER(H63),ISNUMBER(F63)),IF(H63&gt;F63,(H63-F63)/H63,0),0)</f>
        <v>0</v>
      </c>
      <c r="J63" s="39" t="n">
        <f aca="false">IF(I63&gt;0,1,0)</f>
        <v>0</v>
      </c>
      <c r="K63" s="45" t="n">
        <f aca="false">Raw!G63</f>
        <v>4.4</v>
      </c>
      <c r="L63" s="39" t="n">
        <f aca="false">Raw!H63</f>
        <v>5</v>
      </c>
      <c r="M63" s="41" t="n">
        <f aca="false">IF(L63&gt;0,(L63*K63+p_m*p_c)/(L63+p_m),"")</f>
        <v>4.45</v>
      </c>
      <c r="N63" s="37" t="str">
        <f aca="false">IF(Raw!I63="","",TRIM(Raw!I63))</f>
        <v>Core i7 13620H</v>
      </c>
      <c r="O63" s="37" t="str">
        <f aca="false">IF(N63="","Unknown",IF(LEFT(N63,5)="Apple","Apple",IF(LEFT(N63,5)="Ryzen","AMD","Intel")))</f>
        <v>Intel</v>
      </c>
      <c r="P63" s="37" t="str">
        <f aca="false">IF(N63="","Unknown",IF(LEFT(N63,5)="Apple","Apple Silicon",IF(LEFT(N63,8)="Ryzen AI","Ryzen AI",TRIM(LEFT(N63,7)))))</f>
        <v>Core i7</v>
      </c>
      <c r="Q63" s="39" t="n">
        <f aca="false">IFERROR(VALUE(LEFT(Raw!J63,FIND(" ",Raw!J63)-1)),"")</f>
        <v>16</v>
      </c>
      <c r="R63" s="37" t="str">
        <f aca="false">IF(NOT(ISNUMBER(Q63)),"Unknown",IF(Q63&lt;=8,"≤ 8 GB",IF(Q63&lt;=16,"12–16 GB","20 GB +")))</f>
        <v>12–16 GB</v>
      </c>
      <c r="S63" s="37" t="str">
        <f aca="false">IF(Raw!K63="","",IF(ISNUMBER(FIND(" و ",Raw!K63)),TRIM(MID(Raw!K63,FIND(" و ",Raw!K63)+3,100)),TRIM(Raw!K63)))</f>
        <v>512 گیگابایت</v>
      </c>
      <c r="T63" s="43" t="n">
        <f aca="false">IF(S63="","",IFERROR(IFERROR(VALUE(LEFT(S63,FIND(" ",S63)-1)),VALUE(LEFT(S63,LEN(S63)-2)))*IF(OR(ISNUMBER(SEARCH("ترابایت",S63)),ISNUMBER(SEARCH("TB",S63))),1024,1),""))</f>
        <v>512</v>
      </c>
      <c r="U63" s="37" t="str">
        <f aca="false">IF(NOT(ISNUMBER(T63)),"Unknown",IF(T63&lt;=256,"≤ 256 GB",IF(T63&lt;=512,"512 GB","1 TB +")))</f>
        <v>512 GB</v>
      </c>
      <c r="V63" s="45" t="n">
        <f aca="false">IFERROR(VALUE(SUBSTITUTE(LEFT(Raw!L63,FIND(" ",Raw!L63)-1),".",MID(1/2,2,1))),"")</f>
        <v>15.6</v>
      </c>
      <c r="W63" s="41" t="n">
        <f aca="false">IFERROR(VALUE(SUBSTITUTE(LEFT(Raw!N63,FIND(" ",Raw!N63)-1),".",MID(1/2,2,1))),"")</f>
        <v>1.65</v>
      </c>
      <c r="X63" s="37" t="str">
        <f aca="false">IF(Raw!M63="","",TRIM(Raw!M63))</f>
        <v>Intel UHD Graphics</v>
      </c>
      <c r="Y63" s="37" t="str">
        <f aca="false">IF(X63="","Unknown",IF(ISNUMBER(SEARCH("nvidia",X63)),"NVIDIA",IF(ISNUMBER(SEARCH("amd",X63)),"AMD",IF(ISNUMBER(SEARCH("apple",X63)),"Apple",IF(ISNUMBER(SEARCH("intel",X63)),"Intel","Other")))))</f>
        <v>Intel</v>
      </c>
      <c r="Z63" s="37" t="str">
        <f aca="false">IF(X63="","Unknown",IF(ISNUMBER(SEARCH("RTX",X63))+ISNUMBER(SEARCH("GTX",X63))+ISNUMBER(SEARCH("nvidia",X63))+ISNUMBER(SEARCH("Radeon RX",X63))&gt;0,"Dedicated","Integrated"))</f>
        <v>Integrated</v>
      </c>
      <c r="AA63" s="37" t="str">
        <f aca="false">IF(ISNUMBER(SEARCH("RTX",X63)),TRIM(MID(X63,SEARCH("RTX",X63),8)),IF(X63="","Unknown",IF(Z63="Dedicated","Dedicated (model n/a)","Integrated")))</f>
        <v>Integrated</v>
      </c>
      <c r="AB63" s="37" t="str">
        <f aca="false">IF(ISNUMBER(G63),INDEX(Params!$E$5:$E$9,MATCH(G63,Params!$D$5:$D$9,1)),"Unknown")</f>
        <v>200–300 M</v>
      </c>
      <c r="AC63" s="45" t="n">
        <f aca="false">IF(AND(ISNUMBER(G63),ISNUMBER(Q63)),IF(Q63&gt;0,G63/Q63,""),"")</f>
        <v>13.46875</v>
      </c>
      <c r="AD63" s="39" t="n">
        <f aca="false">IF(OR(p_excl=0,ISNUMBER(SEARCH("لپ",B63))),1,0)</f>
        <v>1</v>
      </c>
      <c r="AE63" s="39" t="n">
        <f aca="false">IF(AND(AD63=1,OR(fBrand="All",D63=fBrand),OR(fCPU="All",O63=fCPU),OR(fGPU="All",Z63=fGPU),OR(fTier="All",AB63=fTier),OR(fRAM="All",R63=fRAM)),1,0)</f>
        <v>1</v>
      </c>
      <c r="AF63" s="39" t="n">
        <f aca="false">IF(AND(AE63=1,ISNUMBER(G63)),1,0)</f>
        <v>1</v>
      </c>
      <c r="AG63" s="39" t="n">
        <f aca="false">IF(AND(AE63=1,L63&gt;0),1,0)</f>
        <v>1</v>
      </c>
      <c r="AH63" s="40" t="n">
        <f aca="false">IF(AF63=1,G63,"")</f>
        <v>215.5</v>
      </c>
      <c r="AI63" s="39" t="str">
        <f aca="false">IF(COUNTIF($D$2:D63,D63)=1,MAX($AI$1:AI62)+1,"")</f>
        <v/>
      </c>
      <c r="AJ63" s="39" t="str">
        <f aca="false">IF(COUNTIF($P$2:P63,P63)=1,MAX($AJ$1:AJ62)+1,"")</f>
        <v/>
      </c>
      <c r="AK63" s="47" t="n">
        <f aca="false">IF(AG63=1,M63+ROW()/1000000000,"")</f>
        <v>4.450000063</v>
      </c>
      <c r="AL63" s="47" t="str">
        <f aca="false">IF(AND(AE63=1,I63&gt;0),I63+ROW()/1000000000,"")</f>
        <v/>
      </c>
      <c r="AM63" s="39" t="n">
        <f aca="false">IF(AND(AF63=1,ISNUMBER(W63),Z63="Dedicated"),1,0)</f>
        <v>0</v>
      </c>
      <c r="AN63" s="39" t="n">
        <f aca="false">SUM($AM$2:AM63)</f>
        <v>19</v>
      </c>
      <c r="AO63" s="39" t="n">
        <f aca="false">IF(AND(AF63=1,ISNUMBER(W63),Z63&lt;&gt;"Dedicated"),1,0)</f>
        <v>1</v>
      </c>
      <c r="AP63" s="39" t="n">
        <f aca="false">SUM($AO$2:AO63)</f>
        <v>37</v>
      </c>
      <c r="AQ63" s="39" t="n">
        <f aca="false">IF(AND(AF63=1,AG63=1),1,0)</f>
        <v>1</v>
      </c>
      <c r="AR63" s="39" t="n">
        <f aca="false">SUM($AQ$2:AQ63)</f>
        <v>61</v>
      </c>
      <c r="AS63" s="45" t="n">
        <f aca="false">IF(AQ63=1,G63,0)</f>
        <v>215.5</v>
      </c>
      <c r="AT63" s="45" t="n">
        <f aca="false">IF(AQ63=1,K63,0)</f>
        <v>4.4</v>
      </c>
      <c r="AU63" s="37" t="str">
        <f aca="false">TRIM(IF(Raw!N63="","weight missing; ","")&amp;IF(Raw!K63="","storage missing; ","")&amp;IF(ISNUMBER(FIND(" و ",Raw!K63)),"dual storage - SSD part used; ","")&amp;IF(ISNUMBER(SEARCH("TB",Raw!K63)),"storage written as TB; ","")&amp;IF(Raw!I63="","cpu missing; ","")&amp;IF(Raw!M63="","gpu missing; ","")&amp;IF(Raw!J63="","ram missing; ","")&amp;IF(Raw!L63="","screen missing; ",""))</f>
        <v/>
      </c>
    </row>
    <row r="64" customFormat="false" ht="15" hidden="false" customHeight="false" outlineLevel="0" collapsed="false">
      <c r="A64" s="39" t="n">
        <f aca="false">Raw!A64</f>
        <v>132665</v>
      </c>
      <c r="B64" s="37" t="str">
        <f aca="false">Raw!B64</f>
        <v>لپ تاپ لنوو 15.3 اینچی مدل IdeaPad Slim 3 i5 13420H 8GB 512GB</v>
      </c>
      <c r="C64" s="37" t="str">
        <f aca="false">LOWER(TRIM(Raw!C64))</f>
        <v>lenovo</v>
      </c>
      <c r="D64" s="37" t="str">
        <f aca="false">IFERROR(INDEX(Params!$B$5:$B$13,MATCH(C64,Params!$A$5:$A$13,0)),PROPER(C64))</f>
        <v>Lenovo</v>
      </c>
      <c r="E64" s="37" t="str">
        <f aca="false">IF(Raw!F64,"Available","Out of stock")</f>
        <v>Available</v>
      </c>
      <c r="F64" s="43" t="n">
        <f aca="false">IF(Raw!D64="","",Raw!D64)</f>
        <v>156000000</v>
      </c>
      <c r="G64" s="40" t="n">
        <f aca="false">IF(ISNUMBER(F64),F64/1000000,"")</f>
        <v>156</v>
      </c>
      <c r="H64" s="43" t="str">
        <f aca="false">IF(Raw!E64="","",Raw!E64)</f>
        <v/>
      </c>
      <c r="I64" s="42" t="n">
        <f aca="false">IF(AND(ISNUMBER(H64),ISNUMBER(F64)),IF(H64&gt;F64,(H64-F64)/H64,0),0)</f>
        <v>0</v>
      </c>
      <c r="J64" s="39" t="n">
        <f aca="false">IF(I64&gt;0,1,0)</f>
        <v>0</v>
      </c>
      <c r="K64" s="45" t="n">
        <f aca="false">Raw!G64</f>
        <v>4</v>
      </c>
      <c r="L64" s="39" t="n">
        <f aca="false">Raw!H64</f>
        <v>5</v>
      </c>
      <c r="M64" s="41" t="n">
        <f aca="false">IF(L64&gt;0,(L64*K64+p_m*p_c)/(L64+p_m),"")</f>
        <v>4.31666666666667</v>
      </c>
      <c r="N64" s="37" t="str">
        <f aca="false">IF(Raw!I64="","",TRIM(Raw!I64))</f>
        <v>Core i5 13420H</v>
      </c>
      <c r="O64" s="37" t="str">
        <f aca="false">IF(N64="","Unknown",IF(LEFT(N64,5)="Apple","Apple",IF(LEFT(N64,5)="Ryzen","AMD","Intel")))</f>
        <v>Intel</v>
      </c>
      <c r="P64" s="37" t="str">
        <f aca="false">IF(N64="","Unknown",IF(LEFT(N64,5)="Apple","Apple Silicon",IF(LEFT(N64,8)="Ryzen AI","Ryzen AI",TRIM(LEFT(N64,7)))))</f>
        <v>Core i5</v>
      </c>
      <c r="Q64" s="39" t="n">
        <f aca="false">IFERROR(VALUE(LEFT(Raw!J64,FIND(" ",Raw!J64)-1)),"")</f>
        <v>8</v>
      </c>
      <c r="R64" s="37" t="str">
        <f aca="false">IF(NOT(ISNUMBER(Q64)),"Unknown",IF(Q64&lt;=8,"≤ 8 GB",IF(Q64&lt;=16,"12–16 GB","20 GB +")))</f>
        <v>≤ 8 GB</v>
      </c>
      <c r="S64" s="37" t="str">
        <f aca="false">IF(Raw!K64="","",IF(ISNUMBER(FIND(" و ",Raw!K64)),TRIM(MID(Raw!K64,FIND(" و ",Raw!K64)+3,100)),TRIM(Raw!K64)))</f>
        <v>512 گیگابایت</v>
      </c>
      <c r="T64" s="43" t="n">
        <f aca="false">IF(S64="","",IFERROR(IFERROR(VALUE(LEFT(S64,FIND(" ",S64)-1)),VALUE(LEFT(S64,LEN(S64)-2)))*IF(OR(ISNUMBER(SEARCH("ترابایت",S64)),ISNUMBER(SEARCH("TB",S64))),1024,1),""))</f>
        <v>512</v>
      </c>
      <c r="U64" s="37" t="str">
        <f aca="false">IF(NOT(ISNUMBER(T64)),"Unknown",IF(T64&lt;=256,"≤ 256 GB",IF(T64&lt;=512,"512 GB","1 TB +")))</f>
        <v>512 GB</v>
      </c>
      <c r="V64" s="45" t="n">
        <f aca="false">IFERROR(VALUE(SUBSTITUTE(LEFT(Raw!L64,FIND(" ",Raw!L64)-1),".",MID(1/2,2,1))),"")</f>
        <v>15.3</v>
      </c>
      <c r="W64" s="41" t="str">
        <f aca="false">IFERROR(VALUE(SUBSTITUTE(LEFT(Raw!N64,FIND(" ",Raw!N64)-1),".",MID(1/2,2,1))),"")</f>
        <v/>
      </c>
      <c r="X64" s="37" t="str">
        <f aca="false">IF(Raw!M64="","",TRIM(Raw!M64))</f>
        <v>Intel UHD Graphics</v>
      </c>
      <c r="Y64" s="37" t="str">
        <f aca="false">IF(X64="","Unknown",IF(ISNUMBER(SEARCH("nvidia",X64)),"NVIDIA",IF(ISNUMBER(SEARCH("amd",X64)),"AMD",IF(ISNUMBER(SEARCH("apple",X64)),"Apple",IF(ISNUMBER(SEARCH("intel",X64)),"Intel","Other")))))</f>
        <v>Intel</v>
      </c>
      <c r="Z64" s="37" t="str">
        <f aca="false">IF(X64="","Unknown",IF(ISNUMBER(SEARCH("RTX",X64))+ISNUMBER(SEARCH("GTX",X64))+ISNUMBER(SEARCH("nvidia",X64))+ISNUMBER(SEARCH("Radeon RX",X64))&gt;0,"Dedicated","Integrated"))</f>
        <v>Integrated</v>
      </c>
      <c r="AA64" s="37" t="str">
        <f aca="false">IF(ISNUMBER(SEARCH("RTX",X64)),TRIM(MID(X64,SEARCH("RTX",X64),8)),IF(X64="","Unknown",IF(Z64="Dedicated","Dedicated (model n/a)","Integrated")))</f>
        <v>Integrated</v>
      </c>
      <c r="AB64" s="37" t="str">
        <f aca="false">IF(ISNUMBER(G64),INDEX(Params!$E$5:$E$9,MATCH(G64,Params!$D$5:$D$9,1)),"Unknown")</f>
        <v>100–200 M</v>
      </c>
      <c r="AC64" s="45" t="n">
        <f aca="false">IF(AND(ISNUMBER(G64),ISNUMBER(Q64)),IF(Q64&gt;0,G64/Q64,""),"")</f>
        <v>19.5</v>
      </c>
      <c r="AD64" s="39" t="n">
        <f aca="false">IF(OR(p_excl=0,ISNUMBER(SEARCH("لپ",B64))),1,0)</f>
        <v>1</v>
      </c>
      <c r="AE64" s="39" t="n">
        <f aca="false">IF(AND(AD64=1,OR(fBrand="All",D64=fBrand),OR(fCPU="All",O64=fCPU),OR(fGPU="All",Z64=fGPU),OR(fTier="All",AB64=fTier),OR(fRAM="All",R64=fRAM)),1,0)</f>
        <v>1</v>
      </c>
      <c r="AF64" s="39" t="n">
        <f aca="false">IF(AND(AE64=1,ISNUMBER(G64)),1,0)</f>
        <v>1</v>
      </c>
      <c r="AG64" s="39" t="n">
        <f aca="false">IF(AND(AE64=1,L64&gt;0),1,0)</f>
        <v>1</v>
      </c>
      <c r="AH64" s="40" t="n">
        <f aca="false">IF(AF64=1,G64,"")</f>
        <v>156</v>
      </c>
      <c r="AI64" s="39" t="str">
        <f aca="false">IF(COUNTIF($D$2:D64,D64)=1,MAX($AI$1:AI63)+1,"")</f>
        <v/>
      </c>
      <c r="AJ64" s="39" t="str">
        <f aca="false">IF(COUNTIF($P$2:P64,P64)=1,MAX($AJ$1:AJ63)+1,"")</f>
        <v/>
      </c>
      <c r="AK64" s="47" t="n">
        <f aca="false">IF(AG64=1,M64+ROW()/1000000000,"")</f>
        <v>4.31666673066667</v>
      </c>
      <c r="AL64" s="47" t="str">
        <f aca="false">IF(AND(AE64=1,I64&gt;0),I64+ROW()/1000000000,"")</f>
        <v/>
      </c>
      <c r="AM64" s="39" t="n">
        <f aca="false">IF(AND(AF64=1,ISNUMBER(W64),Z64="Dedicated"),1,0)</f>
        <v>0</v>
      </c>
      <c r="AN64" s="39" t="n">
        <f aca="false">SUM($AM$2:AM64)</f>
        <v>19</v>
      </c>
      <c r="AO64" s="39" t="n">
        <f aca="false">IF(AND(AF64=1,ISNUMBER(W64),Z64&lt;&gt;"Dedicated"),1,0)</f>
        <v>0</v>
      </c>
      <c r="AP64" s="39" t="n">
        <f aca="false">SUM($AO$2:AO64)</f>
        <v>37</v>
      </c>
      <c r="AQ64" s="39" t="n">
        <f aca="false">IF(AND(AF64=1,AG64=1),1,0)</f>
        <v>1</v>
      </c>
      <c r="AR64" s="39" t="n">
        <f aca="false">SUM($AQ$2:AQ64)</f>
        <v>62</v>
      </c>
      <c r="AS64" s="45" t="n">
        <f aca="false">IF(AQ64=1,G64,0)</f>
        <v>156</v>
      </c>
      <c r="AT64" s="45" t="n">
        <f aca="false">IF(AQ64=1,K64,0)</f>
        <v>4</v>
      </c>
      <c r="AU64" s="37" t="str">
        <f aca="false">TRIM(IF(Raw!N64="","weight missing; ","")&amp;IF(Raw!K64="","storage missing; ","")&amp;IF(ISNUMBER(FIND(" و ",Raw!K64)),"dual storage - SSD part used; ","")&amp;IF(ISNUMBER(SEARCH("TB",Raw!K64)),"storage written as TB; ","")&amp;IF(Raw!I64="","cpu missing; ","")&amp;IF(Raw!M64="","gpu missing; ","")&amp;IF(Raw!J64="","ram missing; ","")&amp;IF(Raw!L64="","screen missing; ",""))</f>
        <v>weight missing;</v>
      </c>
    </row>
    <row r="65" customFormat="false" ht="15" hidden="false" customHeight="false" outlineLevel="0" collapsed="false">
      <c r="A65" s="39" t="n">
        <f aca="false">Raw!A65</f>
        <v>122016</v>
      </c>
      <c r="B65" s="37" t="str">
        <f aca="false">Raw!B65</f>
        <v>لپ تاپ 16 اینچی ایسوس مدل TUF Gaming FX607VU CORE 5 210H 16GB 512GB RTX 4050</v>
      </c>
      <c r="C65" s="37" t="str">
        <f aca="false">LOWER(TRIM(Raw!C65))</f>
        <v>asus</v>
      </c>
      <c r="D65" s="37" t="str">
        <f aca="false">IFERROR(INDEX(Params!$B$5:$B$13,MATCH(C65,Params!$A$5:$A$13,0)),PROPER(C65))</f>
        <v>ASUS</v>
      </c>
      <c r="E65" s="37" t="str">
        <f aca="false">IF(Raw!F65,"Available","Out of stock")</f>
        <v>Available</v>
      </c>
      <c r="F65" s="43" t="n">
        <f aca="false">IF(Raw!D65="","",Raw!D65)</f>
        <v>312000000</v>
      </c>
      <c r="G65" s="40" t="n">
        <f aca="false">IF(ISNUMBER(F65),F65/1000000,"")</f>
        <v>312</v>
      </c>
      <c r="H65" s="43" t="str">
        <f aca="false">IF(Raw!E65="","",Raw!E65)</f>
        <v/>
      </c>
      <c r="I65" s="42" t="n">
        <f aca="false">IF(AND(ISNUMBER(H65),ISNUMBER(F65)),IF(H65&gt;F65,(H65-F65)/H65,0),0)</f>
        <v>0</v>
      </c>
      <c r="J65" s="39" t="n">
        <f aca="false">IF(I65&gt;0,1,0)</f>
        <v>0</v>
      </c>
      <c r="K65" s="45" t="n">
        <f aca="false">Raw!G65</f>
        <v>4.6</v>
      </c>
      <c r="L65" s="39" t="n">
        <f aca="false">Raw!H65</f>
        <v>22</v>
      </c>
      <c r="M65" s="41" t="n">
        <f aca="false">IF(L65&gt;0,(L65*K65+p_m*p_c)/(L65+p_m),"")</f>
        <v>4.5609375</v>
      </c>
      <c r="N65" s="37" t="str">
        <f aca="false">IF(Raw!I65="","",TRIM(Raw!I65))</f>
        <v>Core 5 210H</v>
      </c>
      <c r="O65" s="37" t="str">
        <f aca="false">IF(N65="","Unknown",IF(LEFT(N65,5)="Apple","Apple",IF(LEFT(N65,5)="Ryzen","AMD","Intel")))</f>
        <v>Intel</v>
      </c>
      <c r="P65" s="37" t="str">
        <f aca="false">IF(N65="","Unknown",IF(LEFT(N65,5)="Apple","Apple Silicon",IF(LEFT(N65,8)="Ryzen AI","Ryzen AI",TRIM(LEFT(N65,7)))))</f>
        <v>Core 5</v>
      </c>
      <c r="Q65" s="39" t="n">
        <f aca="false">IFERROR(VALUE(LEFT(Raw!J65,FIND(" ",Raw!J65)-1)),"")</f>
        <v>16</v>
      </c>
      <c r="R65" s="37" t="str">
        <f aca="false">IF(NOT(ISNUMBER(Q65)),"Unknown",IF(Q65&lt;=8,"≤ 8 GB",IF(Q65&lt;=16,"12–16 GB","20 GB +")))</f>
        <v>12–16 GB</v>
      </c>
      <c r="S65" s="37" t="str">
        <f aca="false">IF(Raw!K65="","",IF(ISNUMBER(FIND(" و ",Raw!K65)),TRIM(MID(Raw!K65,FIND(" و ",Raw!K65)+3,100)),TRIM(Raw!K65)))</f>
        <v>512 گیگابایت</v>
      </c>
      <c r="T65" s="43" t="n">
        <f aca="false">IF(S65="","",IFERROR(IFERROR(VALUE(LEFT(S65,FIND(" ",S65)-1)),VALUE(LEFT(S65,LEN(S65)-2)))*IF(OR(ISNUMBER(SEARCH("ترابایت",S65)),ISNUMBER(SEARCH("TB",S65))),1024,1),""))</f>
        <v>512</v>
      </c>
      <c r="U65" s="37" t="str">
        <f aca="false">IF(NOT(ISNUMBER(T65)),"Unknown",IF(T65&lt;=256,"≤ 256 GB",IF(T65&lt;=512,"512 GB","1 TB +")))</f>
        <v>512 GB</v>
      </c>
      <c r="V65" s="45" t="n">
        <f aca="false">IFERROR(VALUE(SUBSTITUTE(LEFT(Raw!L65,FIND(" ",Raw!L65)-1),".",MID(1/2,2,1))),"")</f>
        <v>16</v>
      </c>
      <c r="W65" s="41" t="n">
        <f aca="false">IFERROR(VALUE(SUBSTITUTE(LEFT(Raw!N65,FIND(" ",Raw!N65)-1),".",MID(1/2,2,1))),"")</f>
        <v>2.2</v>
      </c>
      <c r="X65" s="37" t="str">
        <f aca="false">IF(Raw!M65="","",TRIM(Raw!M65))</f>
        <v>NVIDIA GeForce RTX 4050</v>
      </c>
      <c r="Y65" s="37" t="str">
        <f aca="false">IF(X65="","Unknown",IF(ISNUMBER(SEARCH("nvidia",X65)),"NVIDIA",IF(ISNUMBER(SEARCH("amd",X65)),"AMD",IF(ISNUMBER(SEARCH("apple",X65)),"Apple",IF(ISNUMBER(SEARCH("intel",X65)),"Intel","Other")))))</f>
        <v>NVIDIA</v>
      </c>
      <c r="Z65" s="37" t="str">
        <f aca="false">IF(X65="","Unknown",IF(ISNUMBER(SEARCH("RTX",X65))+ISNUMBER(SEARCH("GTX",X65))+ISNUMBER(SEARCH("nvidia",X65))+ISNUMBER(SEARCH("Radeon RX",X65))&gt;0,"Dedicated","Integrated"))</f>
        <v>Dedicated</v>
      </c>
      <c r="AA65" s="37" t="str">
        <f aca="false">IF(ISNUMBER(SEARCH("RTX",X65)),TRIM(MID(X65,SEARCH("RTX",X65),8)),IF(X65="","Unknown",IF(Z65="Dedicated","Dedicated (model n/a)","Integrated")))</f>
        <v>RTX 4050</v>
      </c>
      <c r="AB65" s="37" t="str">
        <f aca="false">IF(ISNUMBER(G65),INDEX(Params!$E$5:$E$9,MATCH(G65,Params!$D$5:$D$9,1)),"Unknown")</f>
        <v>300–400 M</v>
      </c>
      <c r="AC65" s="45" t="n">
        <f aca="false">IF(AND(ISNUMBER(G65),ISNUMBER(Q65)),IF(Q65&gt;0,G65/Q65,""),"")</f>
        <v>19.5</v>
      </c>
      <c r="AD65" s="39" t="n">
        <f aca="false">IF(OR(p_excl=0,ISNUMBER(SEARCH("لپ",B65))),1,0)</f>
        <v>1</v>
      </c>
      <c r="AE65" s="39" t="n">
        <f aca="false">IF(AND(AD65=1,OR(fBrand="All",D65=fBrand),OR(fCPU="All",O65=fCPU),OR(fGPU="All",Z65=fGPU),OR(fTier="All",AB65=fTier),OR(fRAM="All",R65=fRAM)),1,0)</f>
        <v>1</v>
      </c>
      <c r="AF65" s="39" t="n">
        <f aca="false">IF(AND(AE65=1,ISNUMBER(G65)),1,0)</f>
        <v>1</v>
      </c>
      <c r="AG65" s="39" t="n">
        <f aca="false">IF(AND(AE65=1,L65&gt;0),1,0)</f>
        <v>1</v>
      </c>
      <c r="AH65" s="40" t="n">
        <f aca="false">IF(AF65=1,G65,"")</f>
        <v>312</v>
      </c>
      <c r="AI65" s="39" t="str">
        <f aca="false">IF(COUNTIF($D$2:D65,D65)=1,MAX($AI$1:AI64)+1,"")</f>
        <v/>
      </c>
      <c r="AJ65" s="39" t="str">
        <f aca="false">IF(COUNTIF($P$2:P65,P65)=1,MAX($AJ$1:AJ64)+1,"")</f>
        <v/>
      </c>
      <c r="AK65" s="47" t="n">
        <f aca="false">IF(AG65=1,M65+ROW()/1000000000,"")</f>
        <v>4.560937565</v>
      </c>
      <c r="AL65" s="47" t="str">
        <f aca="false">IF(AND(AE65=1,I65&gt;0),I65+ROW()/1000000000,"")</f>
        <v/>
      </c>
      <c r="AM65" s="39" t="n">
        <f aca="false">IF(AND(AF65=1,ISNUMBER(W65),Z65="Dedicated"),1,0)</f>
        <v>1</v>
      </c>
      <c r="AN65" s="39" t="n">
        <f aca="false">SUM($AM$2:AM65)</f>
        <v>20</v>
      </c>
      <c r="AO65" s="39" t="n">
        <f aca="false">IF(AND(AF65=1,ISNUMBER(W65),Z65&lt;&gt;"Dedicated"),1,0)</f>
        <v>0</v>
      </c>
      <c r="AP65" s="39" t="n">
        <f aca="false">SUM($AO$2:AO65)</f>
        <v>37</v>
      </c>
      <c r="AQ65" s="39" t="n">
        <f aca="false">IF(AND(AF65=1,AG65=1),1,0)</f>
        <v>1</v>
      </c>
      <c r="AR65" s="39" t="n">
        <f aca="false">SUM($AQ$2:AQ65)</f>
        <v>63</v>
      </c>
      <c r="AS65" s="45" t="n">
        <f aca="false">IF(AQ65=1,G65,0)</f>
        <v>312</v>
      </c>
      <c r="AT65" s="45" t="n">
        <f aca="false">IF(AQ65=1,K65,0)</f>
        <v>4.6</v>
      </c>
      <c r="AU65" s="37" t="str">
        <f aca="false">TRIM(IF(Raw!N65="","weight missing; ","")&amp;IF(Raw!K65="","storage missing; ","")&amp;IF(ISNUMBER(FIND(" و ",Raw!K65)),"dual storage - SSD part used; ","")&amp;IF(ISNUMBER(SEARCH("TB",Raw!K65)),"storage written as TB; ","")&amp;IF(Raw!I65="","cpu missing; ","")&amp;IF(Raw!M65="","gpu missing; ","")&amp;IF(Raw!J65="","ram missing; ","")&amp;IF(Raw!L65="","screen missing; ",""))</f>
        <v/>
      </c>
    </row>
    <row r="66" customFormat="false" ht="15" hidden="false" customHeight="false" outlineLevel="0" collapsed="false">
      <c r="A66" s="39" t="n">
        <f aca="false">Raw!A66</f>
        <v>114932</v>
      </c>
      <c r="B66" s="37" t="str">
        <f aca="false">Raw!B66</f>
        <v>لپ تاپ لنوو 15.6 اینچی مدل IdeaPad 1 Celeron N4500 8GB 512GB FHD</v>
      </c>
      <c r="C66" s="37" t="str">
        <f aca="false">LOWER(TRIM(Raw!C66))</f>
        <v>lenovo</v>
      </c>
      <c r="D66" s="37" t="str">
        <f aca="false">IFERROR(INDEX(Params!$B$5:$B$13,MATCH(C66,Params!$A$5:$A$13,0)),PROPER(C66))</f>
        <v>Lenovo</v>
      </c>
      <c r="E66" s="37" t="str">
        <f aca="false">IF(Raw!F66,"Available","Out of stock")</f>
        <v>Available</v>
      </c>
      <c r="F66" s="43" t="n">
        <f aca="false">IF(Raw!D66="","",Raw!D66)</f>
        <v>102800000</v>
      </c>
      <c r="G66" s="40" t="n">
        <f aca="false">IF(ISNUMBER(F66),F66/1000000,"")</f>
        <v>102.8</v>
      </c>
      <c r="H66" s="43" t="str">
        <f aca="false">IF(Raw!E66="","",Raw!E66)</f>
        <v/>
      </c>
      <c r="I66" s="42" t="n">
        <f aca="false">IF(AND(ISNUMBER(H66),ISNUMBER(F66)),IF(H66&gt;F66,(H66-F66)/H66,0),0)</f>
        <v>0</v>
      </c>
      <c r="J66" s="39" t="n">
        <f aca="false">IF(I66&gt;0,1,0)</f>
        <v>0</v>
      </c>
      <c r="K66" s="45" t="n">
        <f aca="false">Raw!G66</f>
        <v>3.6</v>
      </c>
      <c r="L66" s="39" t="n">
        <f aca="false">Raw!H66</f>
        <v>19</v>
      </c>
      <c r="M66" s="41" t="n">
        <f aca="false">IF(L66&gt;0,(L66*K66+p_m*p_c)/(L66+p_m),"")</f>
        <v>3.90172413793104</v>
      </c>
      <c r="N66" s="37" t="str">
        <f aca="false">IF(Raw!I66="","",TRIM(Raw!I66))</f>
        <v>Celeron N4500</v>
      </c>
      <c r="O66" s="37" t="str">
        <f aca="false">IF(N66="","Unknown",IF(LEFT(N66,5)="Apple","Apple",IF(LEFT(N66,5)="Ryzen","AMD","Intel")))</f>
        <v>Intel</v>
      </c>
      <c r="P66" s="37" t="str">
        <f aca="false">IF(N66="","Unknown",IF(LEFT(N66,5)="Apple","Apple Silicon",IF(LEFT(N66,8)="Ryzen AI","Ryzen AI",TRIM(LEFT(N66,7)))))</f>
        <v>Celeron</v>
      </c>
      <c r="Q66" s="39" t="n">
        <f aca="false">IFERROR(VALUE(LEFT(Raw!J66,FIND(" ",Raw!J66)-1)),"")</f>
        <v>8</v>
      </c>
      <c r="R66" s="37" t="str">
        <f aca="false">IF(NOT(ISNUMBER(Q66)),"Unknown",IF(Q66&lt;=8,"≤ 8 GB",IF(Q66&lt;=16,"12–16 GB","20 GB +")))</f>
        <v>≤ 8 GB</v>
      </c>
      <c r="S66" s="37" t="str">
        <f aca="false">IF(Raw!K66="","",IF(ISNUMBER(FIND(" و ",Raw!K66)),TRIM(MID(Raw!K66,FIND(" و ",Raw!K66)+3,100)),TRIM(Raw!K66)))</f>
        <v>512 گیگابایت</v>
      </c>
      <c r="T66" s="43" t="n">
        <f aca="false">IF(S66="","",IFERROR(IFERROR(VALUE(LEFT(S66,FIND(" ",S66)-1)),VALUE(LEFT(S66,LEN(S66)-2)))*IF(OR(ISNUMBER(SEARCH("ترابایت",S66)),ISNUMBER(SEARCH("TB",S66))),1024,1),""))</f>
        <v>512</v>
      </c>
      <c r="U66" s="37" t="str">
        <f aca="false">IF(NOT(ISNUMBER(T66)),"Unknown",IF(T66&lt;=256,"≤ 256 GB",IF(T66&lt;=512,"512 GB","1 TB +")))</f>
        <v>512 GB</v>
      </c>
      <c r="V66" s="45" t="n">
        <f aca="false">IFERROR(VALUE(SUBSTITUTE(LEFT(Raw!L66,FIND(" ",Raw!L66)-1),".",MID(1/2,2,1))),"")</f>
        <v>15.6</v>
      </c>
      <c r="W66" s="41" t="n">
        <f aca="false">IFERROR(VALUE(SUBSTITUTE(LEFT(Raw!N66,FIND(" ",Raw!N66)-1),".",MID(1/2,2,1))),"")</f>
        <v>1.55</v>
      </c>
      <c r="X66" s="37" t="str">
        <f aca="false">IF(Raw!M66="","",TRIM(Raw!M66))</f>
        <v>Intel UHD Graphics</v>
      </c>
      <c r="Y66" s="37" t="str">
        <f aca="false">IF(X66="","Unknown",IF(ISNUMBER(SEARCH("nvidia",X66)),"NVIDIA",IF(ISNUMBER(SEARCH("amd",X66)),"AMD",IF(ISNUMBER(SEARCH("apple",X66)),"Apple",IF(ISNUMBER(SEARCH("intel",X66)),"Intel","Other")))))</f>
        <v>Intel</v>
      </c>
      <c r="Z66" s="37" t="str">
        <f aca="false">IF(X66="","Unknown",IF(ISNUMBER(SEARCH("RTX",X66))+ISNUMBER(SEARCH("GTX",X66))+ISNUMBER(SEARCH("nvidia",X66))+ISNUMBER(SEARCH("Radeon RX",X66))&gt;0,"Dedicated","Integrated"))</f>
        <v>Integrated</v>
      </c>
      <c r="AA66" s="37" t="str">
        <f aca="false">IF(ISNUMBER(SEARCH("RTX",X66)),TRIM(MID(X66,SEARCH("RTX",X66),8)),IF(X66="","Unknown",IF(Z66="Dedicated","Dedicated (model n/a)","Integrated")))</f>
        <v>Integrated</v>
      </c>
      <c r="AB66" s="37" t="str">
        <f aca="false">IF(ISNUMBER(G66),INDEX(Params!$E$5:$E$9,MATCH(G66,Params!$D$5:$D$9,1)),"Unknown")</f>
        <v>100–200 M</v>
      </c>
      <c r="AC66" s="45" t="n">
        <f aca="false">IF(AND(ISNUMBER(G66),ISNUMBER(Q66)),IF(Q66&gt;0,G66/Q66,""),"")</f>
        <v>12.85</v>
      </c>
      <c r="AD66" s="39" t="n">
        <f aca="false">IF(OR(p_excl=0,ISNUMBER(SEARCH("لپ",B66))),1,0)</f>
        <v>1</v>
      </c>
      <c r="AE66" s="39" t="n">
        <f aca="false">IF(AND(AD66=1,OR(fBrand="All",D66=fBrand),OR(fCPU="All",O66=fCPU),OR(fGPU="All",Z66=fGPU),OR(fTier="All",AB66=fTier),OR(fRAM="All",R66=fRAM)),1,0)</f>
        <v>1</v>
      </c>
      <c r="AF66" s="39" t="n">
        <f aca="false">IF(AND(AE66=1,ISNUMBER(G66)),1,0)</f>
        <v>1</v>
      </c>
      <c r="AG66" s="39" t="n">
        <f aca="false">IF(AND(AE66=1,L66&gt;0),1,0)</f>
        <v>1</v>
      </c>
      <c r="AH66" s="40" t="n">
        <f aca="false">IF(AF66=1,G66,"")</f>
        <v>102.8</v>
      </c>
      <c r="AI66" s="39" t="str">
        <f aca="false">IF(COUNTIF($D$2:D66,D66)=1,MAX($AI$1:AI65)+1,"")</f>
        <v/>
      </c>
      <c r="AJ66" s="39" t="str">
        <f aca="false">IF(COUNTIF($P$2:P66,P66)=1,MAX($AJ$1:AJ65)+1,"")</f>
        <v/>
      </c>
      <c r="AK66" s="47" t="n">
        <f aca="false">IF(AG66=1,M66+ROW()/1000000000,"")</f>
        <v>3.90172420393104</v>
      </c>
      <c r="AL66" s="47" t="str">
        <f aca="false">IF(AND(AE66=1,I66&gt;0),I66+ROW()/1000000000,"")</f>
        <v/>
      </c>
      <c r="AM66" s="39" t="n">
        <f aca="false">IF(AND(AF66=1,ISNUMBER(W66),Z66="Dedicated"),1,0)</f>
        <v>0</v>
      </c>
      <c r="AN66" s="39" t="n">
        <f aca="false">SUM($AM$2:AM66)</f>
        <v>20</v>
      </c>
      <c r="AO66" s="39" t="n">
        <f aca="false">IF(AND(AF66=1,ISNUMBER(W66),Z66&lt;&gt;"Dedicated"),1,0)</f>
        <v>1</v>
      </c>
      <c r="AP66" s="39" t="n">
        <f aca="false">SUM($AO$2:AO66)</f>
        <v>38</v>
      </c>
      <c r="AQ66" s="39" t="n">
        <f aca="false">IF(AND(AF66=1,AG66=1),1,0)</f>
        <v>1</v>
      </c>
      <c r="AR66" s="39" t="n">
        <f aca="false">SUM($AQ$2:AQ66)</f>
        <v>64</v>
      </c>
      <c r="AS66" s="45" t="n">
        <f aca="false">IF(AQ66=1,G66,0)</f>
        <v>102.8</v>
      </c>
      <c r="AT66" s="45" t="n">
        <f aca="false">IF(AQ66=1,K66,0)</f>
        <v>3.6</v>
      </c>
      <c r="AU66" s="37" t="str">
        <f aca="false">TRIM(IF(Raw!N66="","weight missing; ","")&amp;IF(Raw!K66="","storage missing; ","")&amp;IF(ISNUMBER(FIND(" و ",Raw!K66)),"dual storage - SSD part used; ","")&amp;IF(ISNUMBER(SEARCH("TB",Raw!K66)),"storage written as TB; ","")&amp;IF(Raw!I66="","cpu missing; ","")&amp;IF(Raw!M66="","gpu missing; ","")&amp;IF(Raw!J66="","ram missing; ","")&amp;IF(Raw!L66="","screen missing; ",""))</f>
        <v/>
      </c>
    </row>
    <row r="67" customFormat="false" ht="15" hidden="false" customHeight="false" outlineLevel="0" collapsed="false">
      <c r="A67" s="39" t="n">
        <f aca="false">Raw!A67</f>
        <v>73598</v>
      </c>
      <c r="B67" s="37" t="str">
        <f aca="false">Raw!B67</f>
        <v>لپ تاپ ایسوس 15.6 اینچی مدل VivoBook Go 15 E1504FA R3 7320U 8GB 256GB</v>
      </c>
      <c r="C67" s="37" t="str">
        <f aca="false">LOWER(TRIM(Raw!C67))</f>
        <v>asus</v>
      </c>
      <c r="D67" s="37" t="str">
        <f aca="false">IFERROR(INDEX(Params!$B$5:$B$13,MATCH(C67,Params!$A$5:$A$13,0)),PROPER(C67))</f>
        <v>ASUS</v>
      </c>
      <c r="E67" s="37" t="str">
        <f aca="false">IF(Raw!F67,"Available","Out of stock")</f>
        <v>Available</v>
      </c>
      <c r="F67" s="43" t="n">
        <f aca="false">IF(Raw!D67="","",Raw!D67)</f>
        <v>125800000</v>
      </c>
      <c r="G67" s="40" t="n">
        <f aca="false">IF(ISNUMBER(F67),F67/1000000,"")</f>
        <v>125.8</v>
      </c>
      <c r="H67" s="43" t="str">
        <f aca="false">IF(Raw!E67="","",Raw!E67)</f>
        <v/>
      </c>
      <c r="I67" s="42" t="n">
        <f aca="false">IF(AND(ISNUMBER(H67),ISNUMBER(F67)),IF(H67&gt;F67,(H67-F67)/H67,0),0)</f>
        <v>0</v>
      </c>
      <c r="J67" s="39" t="n">
        <f aca="false">IF(I67&gt;0,1,0)</f>
        <v>0</v>
      </c>
      <c r="K67" s="45" t="n">
        <f aca="false">Raw!G67</f>
        <v>5</v>
      </c>
      <c r="L67" s="39" t="n">
        <f aca="false">Raw!H67</f>
        <v>1</v>
      </c>
      <c r="M67" s="41" t="n">
        <f aca="false">IF(L67&gt;0,(L67*K67+p_m*p_c)/(L67+p_m),"")</f>
        <v>4.52272727272727</v>
      </c>
      <c r="N67" s="37" t="str">
        <f aca="false">IF(Raw!I67="","",TRIM(Raw!I67))</f>
        <v>Ryzen 3 7320U</v>
      </c>
      <c r="O67" s="37" t="str">
        <f aca="false">IF(N67="","Unknown",IF(LEFT(N67,5)="Apple","Apple",IF(LEFT(N67,5)="Ryzen","AMD","Intel")))</f>
        <v>AMD</v>
      </c>
      <c r="P67" s="37" t="str">
        <f aca="false">IF(N67="","Unknown",IF(LEFT(N67,5)="Apple","Apple Silicon",IF(LEFT(N67,8)="Ryzen AI","Ryzen AI",TRIM(LEFT(N67,7)))))</f>
        <v>Ryzen 3</v>
      </c>
      <c r="Q67" s="39" t="n">
        <f aca="false">IFERROR(VALUE(LEFT(Raw!J67,FIND(" ",Raw!J67)-1)),"")</f>
        <v>8</v>
      </c>
      <c r="R67" s="37" t="str">
        <f aca="false">IF(NOT(ISNUMBER(Q67)),"Unknown",IF(Q67&lt;=8,"≤ 8 GB",IF(Q67&lt;=16,"12–16 GB","20 GB +")))</f>
        <v>≤ 8 GB</v>
      </c>
      <c r="S67" s="37" t="str">
        <f aca="false">IF(Raw!K67="","",IF(ISNUMBER(FIND(" و ",Raw!K67)),TRIM(MID(Raw!K67,FIND(" و ",Raw!K67)+3,100)),TRIM(Raw!K67)))</f>
        <v>256 گیگابایت</v>
      </c>
      <c r="T67" s="43" t="n">
        <f aca="false">IF(S67="","",IFERROR(IFERROR(VALUE(LEFT(S67,FIND(" ",S67)-1)),VALUE(LEFT(S67,LEN(S67)-2)))*IF(OR(ISNUMBER(SEARCH("ترابایت",S67)),ISNUMBER(SEARCH("TB",S67))),1024,1),""))</f>
        <v>256</v>
      </c>
      <c r="U67" s="37" t="str">
        <f aca="false">IF(NOT(ISNUMBER(T67)),"Unknown",IF(T67&lt;=256,"≤ 256 GB",IF(T67&lt;=512,"512 GB","1 TB +")))</f>
        <v>≤ 256 GB</v>
      </c>
      <c r="V67" s="45" t="n">
        <f aca="false">IFERROR(VALUE(SUBSTITUTE(LEFT(Raw!L67,FIND(" ",Raw!L67)-1),".",MID(1/2,2,1))),"")</f>
        <v>15.6</v>
      </c>
      <c r="W67" s="41" t="n">
        <f aca="false">IFERROR(VALUE(SUBSTITUTE(LEFT(Raw!N67,FIND(" ",Raw!N67)-1),".",MID(1/2,2,1))),"")</f>
        <v>1.63</v>
      </c>
      <c r="X67" s="37" t="str">
        <f aca="false">IF(Raw!M67="","",TRIM(Raw!M67))</f>
        <v>AMD Radeon Graphics</v>
      </c>
      <c r="Y67" s="37" t="str">
        <f aca="false">IF(X67="","Unknown",IF(ISNUMBER(SEARCH("nvidia",X67)),"NVIDIA",IF(ISNUMBER(SEARCH("amd",X67)),"AMD",IF(ISNUMBER(SEARCH("apple",X67)),"Apple",IF(ISNUMBER(SEARCH("intel",X67)),"Intel","Other")))))</f>
        <v>AMD</v>
      </c>
      <c r="Z67" s="37" t="str">
        <f aca="false">IF(X67="","Unknown",IF(ISNUMBER(SEARCH("RTX",X67))+ISNUMBER(SEARCH("GTX",X67))+ISNUMBER(SEARCH("nvidia",X67))+ISNUMBER(SEARCH("Radeon RX",X67))&gt;0,"Dedicated","Integrated"))</f>
        <v>Integrated</v>
      </c>
      <c r="AA67" s="37" t="str">
        <f aca="false">IF(ISNUMBER(SEARCH("RTX",X67)),TRIM(MID(X67,SEARCH("RTX",X67),8)),IF(X67="","Unknown",IF(Z67="Dedicated","Dedicated (model n/a)","Integrated")))</f>
        <v>Integrated</v>
      </c>
      <c r="AB67" s="37" t="str">
        <f aca="false">IF(ISNUMBER(G67),INDEX(Params!$E$5:$E$9,MATCH(G67,Params!$D$5:$D$9,1)),"Unknown")</f>
        <v>100–200 M</v>
      </c>
      <c r="AC67" s="45" t="n">
        <f aca="false">IF(AND(ISNUMBER(G67),ISNUMBER(Q67)),IF(Q67&gt;0,G67/Q67,""),"")</f>
        <v>15.725</v>
      </c>
      <c r="AD67" s="39" t="n">
        <f aca="false">IF(OR(p_excl=0,ISNUMBER(SEARCH("لپ",B67))),1,0)</f>
        <v>1</v>
      </c>
      <c r="AE67" s="39" t="n">
        <f aca="false">IF(AND(AD67=1,OR(fBrand="All",D67=fBrand),OR(fCPU="All",O67=fCPU),OR(fGPU="All",Z67=fGPU),OR(fTier="All",AB67=fTier),OR(fRAM="All",R67=fRAM)),1,0)</f>
        <v>1</v>
      </c>
      <c r="AF67" s="39" t="n">
        <f aca="false">IF(AND(AE67=1,ISNUMBER(G67)),1,0)</f>
        <v>1</v>
      </c>
      <c r="AG67" s="39" t="n">
        <f aca="false">IF(AND(AE67=1,L67&gt;0),1,0)</f>
        <v>1</v>
      </c>
      <c r="AH67" s="40" t="n">
        <f aca="false">IF(AF67=1,G67,"")</f>
        <v>125.8</v>
      </c>
      <c r="AI67" s="39" t="str">
        <f aca="false">IF(COUNTIF($D$2:D67,D67)=1,MAX($AI$1:AI66)+1,"")</f>
        <v/>
      </c>
      <c r="AJ67" s="39" t="str">
        <f aca="false">IF(COUNTIF($P$2:P67,P67)=1,MAX($AJ$1:AJ66)+1,"")</f>
        <v/>
      </c>
      <c r="AK67" s="47" t="n">
        <f aca="false">IF(AG67=1,M67+ROW()/1000000000,"")</f>
        <v>4.52272733972727</v>
      </c>
      <c r="AL67" s="47" t="str">
        <f aca="false">IF(AND(AE67=1,I67&gt;0),I67+ROW()/1000000000,"")</f>
        <v/>
      </c>
      <c r="AM67" s="39" t="n">
        <f aca="false">IF(AND(AF67=1,ISNUMBER(W67),Z67="Dedicated"),1,0)</f>
        <v>0</v>
      </c>
      <c r="AN67" s="39" t="n">
        <f aca="false">SUM($AM$2:AM67)</f>
        <v>20</v>
      </c>
      <c r="AO67" s="39" t="n">
        <f aca="false">IF(AND(AF67=1,ISNUMBER(W67),Z67&lt;&gt;"Dedicated"),1,0)</f>
        <v>1</v>
      </c>
      <c r="AP67" s="39" t="n">
        <f aca="false">SUM($AO$2:AO67)</f>
        <v>39</v>
      </c>
      <c r="AQ67" s="39" t="n">
        <f aca="false">IF(AND(AF67=1,AG67=1),1,0)</f>
        <v>1</v>
      </c>
      <c r="AR67" s="39" t="n">
        <f aca="false">SUM($AQ$2:AQ67)</f>
        <v>65</v>
      </c>
      <c r="AS67" s="45" t="n">
        <f aca="false">IF(AQ67=1,G67,0)</f>
        <v>125.8</v>
      </c>
      <c r="AT67" s="45" t="n">
        <f aca="false">IF(AQ67=1,K67,0)</f>
        <v>5</v>
      </c>
      <c r="AU67" s="37" t="str">
        <f aca="false">TRIM(IF(Raw!N67="","weight missing; ","")&amp;IF(Raw!K67="","storage missing; ","")&amp;IF(ISNUMBER(FIND(" و ",Raw!K67)),"dual storage - SSD part used; ","")&amp;IF(ISNUMBER(SEARCH("TB",Raw!K67)),"storage written as TB; ","")&amp;IF(Raw!I67="","cpu missing; ","")&amp;IF(Raw!M67="","gpu missing; ","")&amp;IF(Raw!J67="","ram missing; ","")&amp;IF(Raw!L67="","screen missing; ",""))</f>
        <v/>
      </c>
    </row>
    <row r="68" customFormat="false" ht="15" hidden="false" customHeight="false" outlineLevel="0" collapsed="false">
      <c r="A68" s="39" t="n">
        <f aca="false">Raw!A68</f>
        <v>49411</v>
      </c>
      <c r="B68" s="37" t="str">
        <f aca="false">Raw!B68</f>
        <v>لپ تاپ لنوو 15.6 اینچی مدل V15 G4 i5 13420H 16GB 1TB SSD</v>
      </c>
      <c r="C68" s="37" t="str">
        <f aca="false">LOWER(TRIM(Raw!C68))</f>
        <v>lenovo</v>
      </c>
      <c r="D68" s="37" t="str">
        <f aca="false">IFERROR(INDEX(Params!$B$5:$B$13,MATCH(C68,Params!$A$5:$A$13,0)),PROPER(C68))</f>
        <v>Lenovo</v>
      </c>
      <c r="E68" s="37" t="str">
        <f aca="false">IF(Raw!F68,"Available","Out of stock")</f>
        <v>Available</v>
      </c>
      <c r="F68" s="43" t="n">
        <f aca="false">IF(Raw!D68="","",Raw!D68)</f>
        <v>185000000</v>
      </c>
      <c r="G68" s="40" t="n">
        <f aca="false">IF(ISNUMBER(F68),F68/1000000,"")</f>
        <v>185</v>
      </c>
      <c r="H68" s="43" t="str">
        <f aca="false">IF(Raw!E68="","",Raw!E68)</f>
        <v/>
      </c>
      <c r="I68" s="42" t="n">
        <f aca="false">IF(AND(ISNUMBER(H68),ISNUMBER(F68)),IF(H68&gt;F68,(H68-F68)/H68,0),0)</f>
        <v>0</v>
      </c>
      <c r="J68" s="39" t="n">
        <f aca="false">IF(I68&gt;0,1,0)</f>
        <v>0</v>
      </c>
      <c r="K68" s="45" t="n">
        <f aca="false">Raw!G68</f>
        <v>4.3</v>
      </c>
      <c r="L68" s="39" t="n">
        <f aca="false">Raw!H68</f>
        <v>31</v>
      </c>
      <c r="M68" s="41" t="n">
        <f aca="false">IF(L68&gt;0,(L68*K68+p_m*p_c)/(L68+p_m),"")</f>
        <v>4.34268292682927</v>
      </c>
      <c r="N68" s="37" t="str">
        <f aca="false">IF(Raw!I68="","",TRIM(Raw!I68))</f>
        <v>Core i5 13420H</v>
      </c>
      <c r="O68" s="37" t="str">
        <f aca="false">IF(N68="","Unknown",IF(LEFT(N68,5)="Apple","Apple",IF(LEFT(N68,5)="Ryzen","AMD","Intel")))</f>
        <v>Intel</v>
      </c>
      <c r="P68" s="37" t="str">
        <f aca="false">IF(N68="","Unknown",IF(LEFT(N68,5)="Apple","Apple Silicon",IF(LEFT(N68,8)="Ryzen AI","Ryzen AI",TRIM(LEFT(N68,7)))))</f>
        <v>Core i5</v>
      </c>
      <c r="Q68" s="39" t="n">
        <f aca="false">IFERROR(VALUE(LEFT(Raw!J68,FIND(" ",Raw!J68)-1)),"")</f>
        <v>16</v>
      </c>
      <c r="R68" s="37" t="str">
        <f aca="false">IF(NOT(ISNUMBER(Q68)),"Unknown",IF(Q68&lt;=8,"≤ 8 GB",IF(Q68&lt;=16,"12–16 GB","20 GB +")))</f>
        <v>12–16 GB</v>
      </c>
      <c r="S68" s="37" t="str">
        <f aca="false">IF(Raw!K68="","",IF(ISNUMBER(FIND(" و ",Raw!K68)),TRIM(MID(Raw!K68,FIND(" و ",Raw!K68)+3,100)),TRIM(Raw!K68)))</f>
        <v>1 ترابایت</v>
      </c>
      <c r="T68" s="43" t="n">
        <f aca="false">IF(S68="","",IFERROR(IFERROR(VALUE(LEFT(S68,FIND(" ",S68)-1)),VALUE(LEFT(S68,LEN(S68)-2)))*IF(OR(ISNUMBER(SEARCH("ترابایت",S68)),ISNUMBER(SEARCH("TB",S68))),1024,1),""))</f>
        <v>1024</v>
      </c>
      <c r="U68" s="37" t="str">
        <f aca="false">IF(NOT(ISNUMBER(T68)),"Unknown",IF(T68&lt;=256,"≤ 256 GB",IF(T68&lt;=512,"512 GB","1 TB +")))</f>
        <v>1 TB +</v>
      </c>
      <c r="V68" s="45" t="n">
        <f aca="false">IFERROR(VALUE(SUBSTITUTE(LEFT(Raw!L68,FIND(" ",Raw!L68)-1),".",MID(1/2,2,1))),"")</f>
        <v>15.6</v>
      </c>
      <c r="W68" s="41" t="n">
        <f aca="false">IFERROR(VALUE(SUBSTITUTE(LEFT(Raw!N68,FIND(" ",Raw!N68)-1),".",MID(1/2,2,1))),"")</f>
        <v>1.6</v>
      </c>
      <c r="X68" s="37" t="str">
        <f aca="false">IF(Raw!M68="","",TRIM(Raw!M68))</f>
        <v>Intel UHD Graphics</v>
      </c>
      <c r="Y68" s="37" t="str">
        <f aca="false">IF(X68="","Unknown",IF(ISNUMBER(SEARCH("nvidia",X68)),"NVIDIA",IF(ISNUMBER(SEARCH("amd",X68)),"AMD",IF(ISNUMBER(SEARCH("apple",X68)),"Apple",IF(ISNUMBER(SEARCH("intel",X68)),"Intel","Other")))))</f>
        <v>Intel</v>
      </c>
      <c r="Z68" s="37" t="str">
        <f aca="false">IF(X68="","Unknown",IF(ISNUMBER(SEARCH("RTX",X68))+ISNUMBER(SEARCH("GTX",X68))+ISNUMBER(SEARCH("nvidia",X68))+ISNUMBER(SEARCH("Radeon RX",X68))&gt;0,"Dedicated","Integrated"))</f>
        <v>Integrated</v>
      </c>
      <c r="AA68" s="37" t="str">
        <f aca="false">IF(ISNUMBER(SEARCH("RTX",X68)),TRIM(MID(X68,SEARCH("RTX",X68),8)),IF(X68="","Unknown",IF(Z68="Dedicated","Dedicated (model n/a)","Integrated")))</f>
        <v>Integrated</v>
      </c>
      <c r="AB68" s="37" t="str">
        <f aca="false">IF(ISNUMBER(G68),INDEX(Params!$E$5:$E$9,MATCH(G68,Params!$D$5:$D$9,1)),"Unknown")</f>
        <v>100–200 M</v>
      </c>
      <c r="AC68" s="45" t="n">
        <f aca="false">IF(AND(ISNUMBER(G68),ISNUMBER(Q68)),IF(Q68&gt;0,G68/Q68,""),"")</f>
        <v>11.5625</v>
      </c>
      <c r="AD68" s="39" t="n">
        <f aca="false">IF(OR(p_excl=0,ISNUMBER(SEARCH("لپ",B68))),1,0)</f>
        <v>1</v>
      </c>
      <c r="AE68" s="39" t="n">
        <f aca="false">IF(AND(AD68=1,OR(fBrand="All",D68=fBrand),OR(fCPU="All",O68=fCPU),OR(fGPU="All",Z68=fGPU),OR(fTier="All",AB68=fTier),OR(fRAM="All",R68=fRAM)),1,0)</f>
        <v>1</v>
      </c>
      <c r="AF68" s="39" t="n">
        <f aca="false">IF(AND(AE68=1,ISNUMBER(G68)),1,0)</f>
        <v>1</v>
      </c>
      <c r="AG68" s="39" t="n">
        <f aca="false">IF(AND(AE68=1,L68&gt;0),1,0)</f>
        <v>1</v>
      </c>
      <c r="AH68" s="40" t="n">
        <f aca="false">IF(AF68=1,G68,"")</f>
        <v>185</v>
      </c>
      <c r="AI68" s="39" t="str">
        <f aca="false">IF(COUNTIF($D$2:D68,D68)=1,MAX($AI$1:AI67)+1,"")</f>
        <v/>
      </c>
      <c r="AJ68" s="39" t="str">
        <f aca="false">IF(COUNTIF($P$2:P68,P68)=1,MAX($AJ$1:AJ67)+1,"")</f>
        <v/>
      </c>
      <c r="AK68" s="47" t="n">
        <f aca="false">IF(AG68=1,M68+ROW()/1000000000,"")</f>
        <v>4.34268299482927</v>
      </c>
      <c r="AL68" s="47" t="str">
        <f aca="false">IF(AND(AE68=1,I68&gt;0),I68+ROW()/1000000000,"")</f>
        <v/>
      </c>
      <c r="AM68" s="39" t="n">
        <f aca="false">IF(AND(AF68=1,ISNUMBER(W68),Z68="Dedicated"),1,0)</f>
        <v>0</v>
      </c>
      <c r="AN68" s="39" t="n">
        <f aca="false">SUM($AM$2:AM68)</f>
        <v>20</v>
      </c>
      <c r="AO68" s="39" t="n">
        <f aca="false">IF(AND(AF68=1,ISNUMBER(W68),Z68&lt;&gt;"Dedicated"),1,0)</f>
        <v>1</v>
      </c>
      <c r="AP68" s="39" t="n">
        <f aca="false">SUM($AO$2:AO68)</f>
        <v>40</v>
      </c>
      <c r="AQ68" s="39" t="n">
        <f aca="false">IF(AND(AF68=1,AG68=1),1,0)</f>
        <v>1</v>
      </c>
      <c r="AR68" s="39" t="n">
        <f aca="false">SUM($AQ$2:AQ68)</f>
        <v>66</v>
      </c>
      <c r="AS68" s="45" t="n">
        <f aca="false">IF(AQ68=1,G68,0)</f>
        <v>185</v>
      </c>
      <c r="AT68" s="45" t="n">
        <f aca="false">IF(AQ68=1,K68,0)</f>
        <v>4.3</v>
      </c>
      <c r="AU68" s="37" t="str">
        <f aca="false">TRIM(IF(Raw!N68="","weight missing; ","")&amp;IF(Raw!K68="","storage missing; ","")&amp;IF(ISNUMBER(FIND(" و ",Raw!K68)),"dual storage - SSD part used; ","")&amp;IF(ISNUMBER(SEARCH("TB",Raw!K68)),"storage written as TB; ","")&amp;IF(Raw!I68="","cpu missing; ","")&amp;IF(Raw!M68="","gpu missing; ","")&amp;IF(Raw!J68="","ram missing; ","")&amp;IF(Raw!L68="","screen missing; ",""))</f>
        <v/>
      </c>
    </row>
    <row r="69" customFormat="false" ht="15" hidden="false" customHeight="false" outlineLevel="0" collapsed="false">
      <c r="A69" s="39" t="n">
        <f aca="false">Raw!A69</f>
        <v>46264</v>
      </c>
      <c r="B69" s="37" t="str">
        <f aca="false">Raw!B69</f>
        <v>لپ تاپ لنوو 15.6 اینچی مدل V15 G4 i3 1315U 16GB 256GB</v>
      </c>
      <c r="C69" s="37" t="str">
        <f aca="false">LOWER(TRIM(Raw!C69))</f>
        <v>lenovo</v>
      </c>
      <c r="D69" s="37" t="str">
        <f aca="false">IFERROR(INDEX(Params!$B$5:$B$13,MATCH(C69,Params!$A$5:$A$13,0)),PROPER(C69))</f>
        <v>Lenovo</v>
      </c>
      <c r="E69" s="37" t="str">
        <f aca="false">IF(Raw!F69,"Available","Out of stock")</f>
        <v>Available</v>
      </c>
      <c r="F69" s="43" t="n">
        <f aca="false">IF(Raw!D69="","",Raw!D69)</f>
        <v>145800000</v>
      </c>
      <c r="G69" s="40" t="n">
        <f aca="false">IF(ISNUMBER(F69),F69/1000000,"")</f>
        <v>145.8</v>
      </c>
      <c r="H69" s="43" t="str">
        <f aca="false">IF(Raw!E69="","",Raw!E69)</f>
        <v/>
      </c>
      <c r="I69" s="42" t="n">
        <f aca="false">IF(AND(ISNUMBER(H69),ISNUMBER(F69)),IF(H69&gt;F69,(H69-F69)/H69,0),0)</f>
        <v>0</v>
      </c>
      <c r="J69" s="39" t="n">
        <f aca="false">IF(I69&gt;0,1,0)</f>
        <v>0</v>
      </c>
      <c r="K69" s="45" t="n">
        <f aca="false">Raw!G69</f>
        <v>4</v>
      </c>
      <c r="L69" s="39" t="n">
        <f aca="false">Raw!H69</f>
        <v>2</v>
      </c>
      <c r="M69" s="41" t="n">
        <f aca="false">IF(L69&gt;0,(L69*K69+p_m*p_c)/(L69+p_m),"")</f>
        <v>4.39583333333333</v>
      </c>
      <c r="N69" s="37" t="str">
        <f aca="false">IF(Raw!I69="","",TRIM(Raw!I69))</f>
        <v>Core i3 1315U</v>
      </c>
      <c r="O69" s="37" t="str">
        <f aca="false">IF(N69="","Unknown",IF(LEFT(N69,5)="Apple","Apple",IF(LEFT(N69,5)="Ryzen","AMD","Intel")))</f>
        <v>Intel</v>
      </c>
      <c r="P69" s="37" t="str">
        <f aca="false">IF(N69="","Unknown",IF(LEFT(N69,5)="Apple","Apple Silicon",IF(LEFT(N69,8)="Ryzen AI","Ryzen AI",TRIM(LEFT(N69,7)))))</f>
        <v>Core i3</v>
      </c>
      <c r="Q69" s="39" t="n">
        <f aca="false">IFERROR(VALUE(LEFT(Raw!J69,FIND(" ",Raw!J69)-1)),"")</f>
        <v>16</v>
      </c>
      <c r="R69" s="37" t="str">
        <f aca="false">IF(NOT(ISNUMBER(Q69)),"Unknown",IF(Q69&lt;=8,"≤ 8 GB",IF(Q69&lt;=16,"12–16 GB","20 GB +")))</f>
        <v>12–16 GB</v>
      </c>
      <c r="S69" s="37" t="str">
        <f aca="false">IF(Raw!K69="","",IF(ISNUMBER(FIND(" و ",Raw!K69)),TRIM(MID(Raw!K69,FIND(" و ",Raw!K69)+3,100)),TRIM(Raw!K69)))</f>
        <v>256 گیگابایت</v>
      </c>
      <c r="T69" s="43" t="n">
        <f aca="false">IF(S69="","",IFERROR(IFERROR(VALUE(LEFT(S69,FIND(" ",S69)-1)),VALUE(LEFT(S69,LEN(S69)-2)))*IF(OR(ISNUMBER(SEARCH("ترابایت",S69)),ISNUMBER(SEARCH("TB",S69))),1024,1),""))</f>
        <v>256</v>
      </c>
      <c r="U69" s="37" t="str">
        <f aca="false">IF(NOT(ISNUMBER(T69)),"Unknown",IF(T69&lt;=256,"≤ 256 GB",IF(T69&lt;=512,"512 GB","1 TB +")))</f>
        <v>≤ 256 GB</v>
      </c>
      <c r="V69" s="45" t="n">
        <f aca="false">IFERROR(VALUE(SUBSTITUTE(LEFT(Raw!L69,FIND(" ",Raw!L69)-1),".",MID(1/2,2,1))),"")</f>
        <v>15.6</v>
      </c>
      <c r="W69" s="41" t="n">
        <f aca="false">IFERROR(VALUE(SUBSTITUTE(LEFT(Raw!N69,FIND(" ",Raw!N69)-1),".",MID(1/2,2,1))),"")</f>
        <v>1.6</v>
      </c>
      <c r="X69" s="37" t="str">
        <f aca="false">IF(Raw!M69="","",TRIM(Raw!M69))</f>
        <v>Intel</v>
      </c>
      <c r="Y69" s="37" t="str">
        <f aca="false">IF(X69="","Unknown",IF(ISNUMBER(SEARCH("nvidia",X69)),"NVIDIA",IF(ISNUMBER(SEARCH("amd",X69)),"AMD",IF(ISNUMBER(SEARCH("apple",X69)),"Apple",IF(ISNUMBER(SEARCH("intel",X69)),"Intel","Other")))))</f>
        <v>Intel</v>
      </c>
      <c r="Z69" s="37" t="str">
        <f aca="false">IF(X69="","Unknown",IF(ISNUMBER(SEARCH("RTX",X69))+ISNUMBER(SEARCH("GTX",X69))+ISNUMBER(SEARCH("nvidia",X69))+ISNUMBER(SEARCH("Radeon RX",X69))&gt;0,"Dedicated","Integrated"))</f>
        <v>Integrated</v>
      </c>
      <c r="AA69" s="37" t="str">
        <f aca="false">IF(ISNUMBER(SEARCH("RTX",X69)),TRIM(MID(X69,SEARCH("RTX",X69),8)),IF(X69="","Unknown",IF(Z69="Dedicated","Dedicated (model n/a)","Integrated")))</f>
        <v>Integrated</v>
      </c>
      <c r="AB69" s="37" t="str">
        <f aca="false">IF(ISNUMBER(G69),INDEX(Params!$E$5:$E$9,MATCH(G69,Params!$D$5:$D$9,1)),"Unknown")</f>
        <v>100–200 M</v>
      </c>
      <c r="AC69" s="45" t="n">
        <f aca="false">IF(AND(ISNUMBER(G69),ISNUMBER(Q69)),IF(Q69&gt;0,G69/Q69,""),"")</f>
        <v>9.1125</v>
      </c>
      <c r="AD69" s="39" t="n">
        <f aca="false">IF(OR(p_excl=0,ISNUMBER(SEARCH("لپ",B69))),1,0)</f>
        <v>1</v>
      </c>
      <c r="AE69" s="39" t="n">
        <f aca="false">IF(AND(AD69=1,OR(fBrand="All",D69=fBrand),OR(fCPU="All",O69=fCPU),OR(fGPU="All",Z69=fGPU),OR(fTier="All",AB69=fTier),OR(fRAM="All",R69=fRAM)),1,0)</f>
        <v>1</v>
      </c>
      <c r="AF69" s="39" t="n">
        <f aca="false">IF(AND(AE69=1,ISNUMBER(G69)),1,0)</f>
        <v>1</v>
      </c>
      <c r="AG69" s="39" t="n">
        <f aca="false">IF(AND(AE69=1,L69&gt;0),1,0)</f>
        <v>1</v>
      </c>
      <c r="AH69" s="40" t="n">
        <f aca="false">IF(AF69=1,G69,"")</f>
        <v>145.8</v>
      </c>
      <c r="AI69" s="39" t="str">
        <f aca="false">IF(COUNTIF($D$2:D69,D69)=1,MAX($AI$1:AI68)+1,"")</f>
        <v/>
      </c>
      <c r="AJ69" s="39" t="str">
        <f aca="false">IF(COUNTIF($P$2:P69,P69)=1,MAX($AJ$1:AJ68)+1,"")</f>
        <v/>
      </c>
      <c r="AK69" s="47" t="n">
        <f aca="false">IF(AG69=1,M69+ROW()/1000000000,"")</f>
        <v>4.39583340233333</v>
      </c>
      <c r="AL69" s="47" t="str">
        <f aca="false">IF(AND(AE69=1,I69&gt;0),I69+ROW()/1000000000,"")</f>
        <v/>
      </c>
      <c r="AM69" s="39" t="n">
        <f aca="false">IF(AND(AF69=1,ISNUMBER(W69),Z69="Dedicated"),1,0)</f>
        <v>0</v>
      </c>
      <c r="AN69" s="39" t="n">
        <f aca="false">SUM($AM$2:AM69)</f>
        <v>20</v>
      </c>
      <c r="AO69" s="39" t="n">
        <f aca="false">IF(AND(AF69=1,ISNUMBER(W69),Z69&lt;&gt;"Dedicated"),1,0)</f>
        <v>1</v>
      </c>
      <c r="AP69" s="39" t="n">
        <f aca="false">SUM($AO$2:AO69)</f>
        <v>41</v>
      </c>
      <c r="AQ69" s="39" t="n">
        <f aca="false">IF(AND(AF69=1,AG69=1),1,0)</f>
        <v>1</v>
      </c>
      <c r="AR69" s="39" t="n">
        <f aca="false">SUM($AQ$2:AQ69)</f>
        <v>67</v>
      </c>
      <c r="AS69" s="45" t="n">
        <f aca="false">IF(AQ69=1,G69,0)</f>
        <v>145.8</v>
      </c>
      <c r="AT69" s="45" t="n">
        <f aca="false">IF(AQ69=1,K69,0)</f>
        <v>4</v>
      </c>
      <c r="AU69" s="37" t="str">
        <f aca="false">TRIM(IF(Raw!N69="","weight missing; ","")&amp;IF(Raw!K69="","storage missing; ","")&amp;IF(ISNUMBER(FIND(" و ",Raw!K69)),"dual storage - SSD part used; ","")&amp;IF(ISNUMBER(SEARCH("TB",Raw!K69)),"storage written as TB; ","")&amp;IF(Raw!I69="","cpu missing; ","")&amp;IF(Raw!M69="","gpu missing; ","")&amp;IF(Raw!J69="","ram missing; ","")&amp;IF(Raw!L69="","screen missing; ",""))</f>
        <v/>
      </c>
    </row>
    <row r="70" customFormat="false" ht="15" hidden="false" customHeight="false" outlineLevel="0" collapsed="false">
      <c r="A70" s="39" t="n">
        <f aca="false">Raw!A70</f>
        <v>44782</v>
      </c>
      <c r="B70" s="37" t="str">
        <f aca="false">Raw!B70</f>
        <v>لپ تاپ لنوو 15.6 اینچی مدل LOQ 15IRX9 i5 13450HX 16GB 512GB RTX3050</v>
      </c>
      <c r="C70" s="37" t="str">
        <f aca="false">LOWER(TRIM(Raw!C70))</f>
        <v>lenovo</v>
      </c>
      <c r="D70" s="37" t="str">
        <f aca="false">IFERROR(INDEX(Params!$B$5:$B$13,MATCH(C70,Params!$A$5:$A$13,0)),PROPER(C70))</f>
        <v>Lenovo</v>
      </c>
      <c r="E70" s="37" t="str">
        <f aca="false">IF(Raw!F70,"Available","Out of stock")</f>
        <v>Available</v>
      </c>
      <c r="F70" s="43" t="n">
        <f aca="false">IF(Raw!D70="","",Raw!D70)</f>
        <v>287000000</v>
      </c>
      <c r="G70" s="40" t="n">
        <f aca="false">IF(ISNUMBER(F70),F70/1000000,"")</f>
        <v>287</v>
      </c>
      <c r="H70" s="43" t="str">
        <f aca="false">IF(Raw!E70="","",Raw!E70)</f>
        <v/>
      </c>
      <c r="I70" s="42" t="n">
        <f aca="false">IF(AND(ISNUMBER(H70),ISNUMBER(F70)),IF(H70&gt;F70,(H70-F70)/H70,0),0)</f>
        <v>0</v>
      </c>
      <c r="J70" s="39" t="n">
        <f aca="false">IF(I70&gt;0,1,0)</f>
        <v>0</v>
      </c>
      <c r="K70" s="45" t="n">
        <f aca="false">Raw!G70</f>
        <v>3.3</v>
      </c>
      <c r="L70" s="39" t="n">
        <f aca="false">Raw!H70</f>
        <v>3</v>
      </c>
      <c r="M70" s="41" t="n">
        <f aca="false">IF(L70&gt;0,(L70*K70+p_m*p_c)/(L70+p_m),"")</f>
        <v>4.20384615384615</v>
      </c>
      <c r="N70" s="37" t="str">
        <f aca="false">IF(Raw!I70="","",TRIM(Raw!I70))</f>
        <v>Core i5 13450HX</v>
      </c>
      <c r="O70" s="37" t="str">
        <f aca="false">IF(N70="","Unknown",IF(LEFT(N70,5)="Apple","Apple",IF(LEFT(N70,5)="Ryzen","AMD","Intel")))</f>
        <v>Intel</v>
      </c>
      <c r="P70" s="37" t="str">
        <f aca="false">IF(N70="","Unknown",IF(LEFT(N70,5)="Apple","Apple Silicon",IF(LEFT(N70,8)="Ryzen AI","Ryzen AI",TRIM(LEFT(N70,7)))))</f>
        <v>Core i5</v>
      </c>
      <c r="Q70" s="39" t="n">
        <f aca="false">IFERROR(VALUE(LEFT(Raw!J70,FIND(" ",Raw!J70)-1)),"")</f>
        <v>16</v>
      </c>
      <c r="R70" s="37" t="str">
        <f aca="false">IF(NOT(ISNUMBER(Q70)),"Unknown",IF(Q70&lt;=8,"≤ 8 GB",IF(Q70&lt;=16,"12–16 GB","20 GB +")))</f>
        <v>12–16 GB</v>
      </c>
      <c r="S70" s="37" t="str">
        <f aca="false">IF(Raw!K70="","",IF(ISNUMBER(FIND(" و ",Raw!K70)),TRIM(MID(Raw!K70,FIND(" و ",Raw!K70)+3,100)),TRIM(Raw!K70)))</f>
        <v>512 گیگابایت</v>
      </c>
      <c r="T70" s="43" t="n">
        <f aca="false">IF(S70="","",IFERROR(IFERROR(VALUE(LEFT(S70,FIND(" ",S70)-1)),VALUE(LEFT(S70,LEN(S70)-2)))*IF(OR(ISNUMBER(SEARCH("ترابایت",S70)),ISNUMBER(SEARCH("TB",S70))),1024,1),""))</f>
        <v>512</v>
      </c>
      <c r="U70" s="37" t="str">
        <f aca="false">IF(NOT(ISNUMBER(T70)),"Unknown",IF(T70&lt;=256,"≤ 256 GB",IF(T70&lt;=512,"512 GB","1 TB +")))</f>
        <v>512 GB</v>
      </c>
      <c r="V70" s="45" t="n">
        <f aca="false">IFERROR(VALUE(SUBSTITUTE(LEFT(Raw!L70,FIND(" ",Raw!L70)-1),".",MID(1/2,2,1))),"")</f>
        <v>15.6</v>
      </c>
      <c r="W70" s="41" t="n">
        <f aca="false">IFERROR(VALUE(SUBSTITUTE(LEFT(Raw!N70,FIND(" ",Raw!N70)-1),".",MID(1/2,2,1))),"")</f>
        <v>2.4</v>
      </c>
      <c r="X70" s="37" t="str">
        <f aca="false">IF(Raw!M70="","",TRIM(Raw!M70))</f>
        <v>NVIDIA GeForce RTX 3050</v>
      </c>
      <c r="Y70" s="37" t="str">
        <f aca="false">IF(X70="","Unknown",IF(ISNUMBER(SEARCH("nvidia",X70)),"NVIDIA",IF(ISNUMBER(SEARCH("amd",X70)),"AMD",IF(ISNUMBER(SEARCH("apple",X70)),"Apple",IF(ISNUMBER(SEARCH("intel",X70)),"Intel","Other")))))</f>
        <v>NVIDIA</v>
      </c>
      <c r="Z70" s="37" t="str">
        <f aca="false">IF(X70="","Unknown",IF(ISNUMBER(SEARCH("RTX",X70))+ISNUMBER(SEARCH("GTX",X70))+ISNUMBER(SEARCH("nvidia",X70))+ISNUMBER(SEARCH("Radeon RX",X70))&gt;0,"Dedicated","Integrated"))</f>
        <v>Dedicated</v>
      </c>
      <c r="AA70" s="37" t="str">
        <f aca="false">IF(ISNUMBER(SEARCH("RTX",X70)),TRIM(MID(X70,SEARCH("RTX",X70),8)),IF(X70="","Unknown",IF(Z70="Dedicated","Dedicated (model n/a)","Integrated")))</f>
        <v>RTX 3050</v>
      </c>
      <c r="AB70" s="37" t="str">
        <f aca="false">IF(ISNUMBER(G70),INDEX(Params!$E$5:$E$9,MATCH(G70,Params!$D$5:$D$9,1)),"Unknown")</f>
        <v>200–300 M</v>
      </c>
      <c r="AC70" s="45" t="n">
        <f aca="false">IF(AND(ISNUMBER(G70),ISNUMBER(Q70)),IF(Q70&gt;0,G70/Q70,""),"")</f>
        <v>17.9375</v>
      </c>
      <c r="AD70" s="39" t="n">
        <f aca="false">IF(OR(p_excl=0,ISNUMBER(SEARCH("لپ",B70))),1,0)</f>
        <v>1</v>
      </c>
      <c r="AE70" s="39" t="n">
        <f aca="false">IF(AND(AD70=1,OR(fBrand="All",D70=fBrand),OR(fCPU="All",O70=fCPU),OR(fGPU="All",Z70=fGPU),OR(fTier="All",AB70=fTier),OR(fRAM="All",R70=fRAM)),1,0)</f>
        <v>1</v>
      </c>
      <c r="AF70" s="39" t="n">
        <f aca="false">IF(AND(AE70=1,ISNUMBER(G70)),1,0)</f>
        <v>1</v>
      </c>
      <c r="AG70" s="39" t="n">
        <f aca="false">IF(AND(AE70=1,L70&gt;0),1,0)</f>
        <v>1</v>
      </c>
      <c r="AH70" s="40" t="n">
        <f aca="false">IF(AF70=1,G70,"")</f>
        <v>287</v>
      </c>
      <c r="AI70" s="39" t="str">
        <f aca="false">IF(COUNTIF($D$2:D70,D70)=1,MAX($AI$1:AI69)+1,"")</f>
        <v/>
      </c>
      <c r="AJ70" s="39" t="str">
        <f aca="false">IF(COUNTIF($P$2:P70,P70)=1,MAX($AJ$1:AJ69)+1,"")</f>
        <v/>
      </c>
      <c r="AK70" s="47" t="n">
        <f aca="false">IF(AG70=1,M70+ROW()/1000000000,"")</f>
        <v>4.20384622384615</v>
      </c>
      <c r="AL70" s="47" t="str">
        <f aca="false">IF(AND(AE70=1,I70&gt;0),I70+ROW()/1000000000,"")</f>
        <v/>
      </c>
      <c r="AM70" s="39" t="n">
        <f aca="false">IF(AND(AF70=1,ISNUMBER(W70),Z70="Dedicated"),1,0)</f>
        <v>1</v>
      </c>
      <c r="AN70" s="39" t="n">
        <f aca="false">SUM($AM$2:AM70)</f>
        <v>21</v>
      </c>
      <c r="AO70" s="39" t="n">
        <f aca="false">IF(AND(AF70=1,ISNUMBER(W70),Z70&lt;&gt;"Dedicated"),1,0)</f>
        <v>0</v>
      </c>
      <c r="AP70" s="39" t="n">
        <f aca="false">SUM($AO$2:AO70)</f>
        <v>41</v>
      </c>
      <c r="AQ70" s="39" t="n">
        <f aca="false">IF(AND(AF70=1,AG70=1),1,0)</f>
        <v>1</v>
      </c>
      <c r="AR70" s="39" t="n">
        <f aca="false">SUM($AQ$2:AQ70)</f>
        <v>68</v>
      </c>
      <c r="AS70" s="45" t="n">
        <f aca="false">IF(AQ70=1,G70,0)</f>
        <v>287</v>
      </c>
      <c r="AT70" s="45" t="n">
        <f aca="false">IF(AQ70=1,K70,0)</f>
        <v>3.3</v>
      </c>
      <c r="AU70" s="37" t="str">
        <f aca="false">TRIM(IF(Raw!N70="","weight missing; ","")&amp;IF(Raw!K70="","storage missing; ","")&amp;IF(ISNUMBER(FIND(" و ",Raw!K70)),"dual storage - SSD part used; ","")&amp;IF(ISNUMBER(SEARCH("TB",Raw!K70)),"storage written as TB; ","")&amp;IF(Raw!I70="","cpu missing; ","")&amp;IF(Raw!M70="","gpu missing; ","")&amp;IF(Raw!J70="","ram missing; ","")&amp;IF(Raw!L70="","screen missing; ",""))</f>
        <v/>
      </c>
    </row>
    <row r="71" customFormat="false" ht="15" hidden="false" customHeight="false" outlineLevel="0" collapsed="false">
      <c r="A71" s="39" t="n">
        <f aca="false">Raw!A71</f>
        <v>35283</v>
      </c>
      <c r="B71" s="37" t="str">
        <f aca="false">Raw!B71</f>
        <v>لپ تاپ ایسوس 15.6 اینچی مدل Vivobook 15 X1504ZA i3 1215U 12GB 512GB</v>
      </c>
      <c r="C71" s="37" t="str">
        <f aca="false">LOWER(TRIM(Raw!C71))</f>
        <v>asus</v>
      </c>
      <c r="D71" s="37" t="str">
        <f aca="false">IFERROR(INDEX(Params!$B$5:$B$13,MATCH(C71,Params!$A$5:$A$13,0)),PROPER(C71))</f>
        <v>ASUS</v>
      </c>
      <c r="E71" s="37" t="str">
        <f aca="false">IF(Raw!F71,"Available","Out of stock")</f>
        <v>Available</v>
      </c>
      <c r="F71" s="43" t="n">
        <f aca="false">IF(Raw!D71="","",Raw!D71)</f>
        <v>144000000</v>
      </c>
      <c r="G71" s="40" t="n">
        <f aca="false">IF(ISNUMBER(F71),F71/1000000,"")</f>
        <v>144</v>
      </c>
      <c r="H71" s="43" t="str">
        <f aca="false">IF(Raw!E71="","",Raw!E71)</f>
        <v/>
      </c>
      <c r="I71" s="42" t="n">
        <f aca="false">IF(AND(ISNUMBER(H71),ISNUMBER(F71)),IF(H71&gt;F71,(H71-F71)/H71,0),0)</f>
        <v>0</v>
      </c>
      <c r="J71" s="39" t="n">
        <f aca="false">IF(I71&gt;0,1,0)</f>
        <v>0</v>
      </c>
      <c r="K71" s="45" t="n">
        <f aca="false">Raw!G71</f>
        <v>5</v>
      </c>
      <c r="L71" s="39" t="n">
        <f aca="false">Raw!H71</f>
        <v>1</v>
      </c>
      <c r="M71" s="41" t="n">
        <f aca="false">IF(L71&gt;0,(L71*K71+p_m*p_c)/(L71+p_m),"")</f>
        <v>4.52272727272727</v>
      </c>
      <c r="N71" s="37" t="str">
        <f aca="false">IF(Raw!I71="","",TRIM(Raw!I71))</f>
        <v>Core i3 1215U</v>
      </c>
      <c r="O71" s="37" t="str">
        <f aca="false">IF(N71="","Unknown",IF(LEFT(N71,5)="Apple","Apple",IF(LEFT(N71,5)="Ryzen","AMD","Intel")))</f>
        <v>Intel</v>
      </c>
      <c r="P71" s="37" t="str">
        <f aca="false">IF(N71="","Unknown",IF(LEFT(N71,5)="Apple","Apple Silicon",IF(LEFT(N71,8)="Ryzen AI","Ryzen AI",TRIM(LEFT(N71,7)))))</f>
        <v>Core i3</v>
      </c>
      <c r="Q71" s="39" t="n">
        <f aca="false">IFERROR(VALUE(LEFT(Raw!J71,FIND(" ",Raw!J71)-1)),"")</f>
        <v>12</v>
      </c>
      <c r="R71" s="37" t="str">
        <f aca="false">IF(NOT(ISNUMBER(Q71)),"Unknown",IF(Q71&lt;=8,"≤ 8 GB",IF(Q71&lt;=16,"12–16 GB","20 GB +")))</f>
        <v>12–16 GB</v>
      </c>
      <c r="S71" s="37" t="str">
        <f aca="false">IF(Raw!K71="","",IF(ISNUMBER(FIND(" و ",Raw!K71)),TRIM(MID(Raw!K71,FIND(" و ",Raw!K71)+3,100)),TRIM(Raw!K71)))</f>
        <v>512 گیگابایت</v>
      </c>
      <c r="T71" s="43" t="n">
        <f aca="false">IF(S71="","",IFERROR(IFERROR(VALUE(LEFT(S71,FIND(" ",S71)-1)),VALUE(LEFT(S71,LEN(S71)-2)))*IF(OR(ISNUMBER(SEARCH("ترابایت",S71)),ISNUMBER(SEARCH("TB",S71))),1024,1),""))</f>
        <v>512</v>
      </c>
      <c r="U71" s="37" t="str">
        <f aca="false">IF(NOT(ISNUMBER(T71)),"Unknown",IF(T71&lt;=256,"≤ 256 GB",IF(T71&lt;=512,"512 GB","1 TB +")))</f>
        <v>512 GB</v>
      </c>
      <c r="V71" s="45" t="n">
        <f aca="false">IFERROR(VALUE(SUBSTITUTE(LEFT(Raw!L71,FIND(" ",Raw!L71)-1),".",MID(1/2,2,1))),"")</f>
        <v>15.6</v>
      </c>
      <c r="W71" s="41" t="n">
        <f aca="false">IFERROR(VALUE(SUBSTITUTE(LEFT(Raw!N71,FIND(" ",Raw!N71)-1),".",MID(1/2,2,1))),"")</f>
        <v>1.7</v>
      </c>
      <c r="X71" s="37" t="str">
        <f aca="false">IF(Raw!M71="","",TRIM(Raw!M71))</f>
        <v>Intel Intel Iris Xe</v>
      </c>
      <c r="Y71" s="37" t="str">
        <f aca="false">IF(X71="","Unknown",IF(ISNUMBER(SEARCH("nvidia",X71)),"NVIDIA",IF(ISNUMBER(SEARCH("amd",X71)),"AMD",IF(ISNUMBER(SEARCH("apple",X71)),"Apple",IF(ISNUMBER(SEARCH("intel",X71)),"Intel","Other")))))</f>
        <v>Intel</v>
      </c>
      <c r="Z71" s="37" t="str">
        <f aca="false">IF(X71="","Unknown",IF(ISNUMBER(SEARCH("RTX",X71))+ISNUMBER(SEARCH("GTX",X71))+ISNUMBER(SEARCH("nvidia",X71))+ISNUMBER(SEARCH("Radeon RX",X71))&gt;0,"Dedicated","Integrated"))</f>
        <v>Integrated</v>
      </c>
      <c r="AA71" s="37" t="str">
        <f aca="false">IF(ISNUMBER(SEARCH("RTX",X71)),TRIM(MID(X71,SEARCH("RTX",X71),8)),IF(X71="","Unknown",IF(Z71="Dedicated","Dedicated (model n/a)","Integrated")))</f>
        <v>Integrated</v>
      </c>
      <c r="AB71" s="37" t="str">
        <f aca="false">IF(ISNUMBER(G71),INDEX(Params!$E$5:$E$9,MATCH(G71,Params!$D$5:$D$9,1)),"Unknown")</f>
        <v>100–200 M</v>
      </c>
      <c r="AC71" s="45" t="n">
        <f aca="false">IF(AND(ISNUMBER(G71),ISNUMBER(Q71)),IF(Q71&gt;0,G71/Q71,""),"")</f>
        <v>12</v>
      </c>
      <c r="AD71" s="39" t="n">
        <f aca="false">IF(OR(p_excl=0,ISNUMBER(SEARCH("لپ",B71))),1,0)</f>
        <v>1</v>
      </c>
      <c r="AE71" s="39" t="n">
        <f aca="false">IF(AND(AD71=1,OR(fBrand="All",D71=fBrand),OR(fCPU="All",O71=fCPU),OR(fGPU="All",Z71=fGPU),OR(fTier="All",AB71=fTier),OR(fRAM="All",R71=fRAM)),1,0)</f>
        <v>1</v>
      </c>
      <c r="AF71" s="39" t="n">
        <f aca="false">IF(AND(AE71=1,ISNUMBER(G71)),1,0)</f>
        <v>1</v>
      </c>
      <c r="AG71" s="39" t="n">
        <f aca="false">IF(AND(AE71=1,L71&gt;0),1,0)</f>
        <v>1</v>
      </c>
      <c r="AH71" s="40" t="n">
        <f aca="false">IF(AF71=1,G71,"")</f>
        <v>144</v>
      </c>
      <c r="AI71" s="39" t="str">
        <f aca="false">IF(COUNTIF($D$2:D71,D71)=1,MAX($AI$1:AI70)+1,"")</f>
        <v/>
      </c>
      <c r="AJ71" s="39" t="str">
        <f aca="false">IF(COUNTIF($P$2:P71,P71)=1,MAX($AJ$1:AJ70)+1,"")</f>
        <v/>
      </c>
      <c r="AK71" s="47" t="n">
        <f aca="false">IF(AG71=1,M71+ROW()/1000000000,"")</f>
        <v>4.52272734372727</v>
      </c>
      <c r="AL71" s="47" t="str">
        <f aca="false">IF(AND(AE71=1,I71&gt;0),I71+ROW()/1000000000,"")</f>
        <v/>
      </c>
      <c r="AM71" s="39" t="n">
        <f aca="false">IF(AND(AF71=1,ISNUMBER(W71),Z71="Dedicated"),1,0)</f>
        <v>0</v>
      </c>
      <c r="AN71" s="39" t="n">
        <f aca="false">SUM($AM$2:AM71)</f>
        <v>21</v>
      </c>
      <c r="AO71" s="39" t="n">
        <f aca="false">IF(AND(AF71=1,ISNUMBER(W71),Z71&lt;&gt;"Dedicated"),1,0)</f>
        <v>1</v>
      </c>
      <c r="AP71" s="39" t="n">
        <f aca="false">SUM($AO$2:AO71)</f>
        <v>42</v>
      </c>
      <c r="AQ71" s="39" t="n">
        <f aca="false">IF(AND(AF71=1,AG71=1),1,0)</f>
        <v>1</v>
      </c>
      <c r="AR71" s="39" t="n">
        <f aca="false">SUM($AQ$2:AQ71)</f>
        <v>69</v>
      </c>
      <c r="AS71" s="45" t="n">
        <f aca="false">IF(AQ71=1,G71,0)</f>
        <v>144</v>
      </c>
      <c r="AT71" s="45" t="n">
        <f aca="false">IF(AQ71=1,K71,0)</f>
        <v>5</v>
      </c>
      <c r="AU71" s="37" t="str">
        <f aca="false">TRIM(IF(Raw!N71="","weight missing; ","")&amp;IF(Raw!K71="","storage missing; ","")&amp;IF(ISNUMBER(FIND(" و ",Raw!K71)),"dual storage - SSD part used; ","")&amp;IF(ISNUMBER(SEARCH("TB",Raw!K71)),"storage written as TB; ","")&amp;IF(Raw!I71="","cpu missing; ","")&amp;IF(Raw!M71="","gpu missing; ","")&amp;IF(Raw!J71="","ram missing; ","")&amp;IF(Raw!L71="","screen missing; ",""))</f>
        <v/>
      </c>
    </row>
    <row r="72" customFormat="false" ht="15" hidden="false" customHeight="false" outlineLevel="0" collapsed="false">
      <c r="A72" s="39" t="n">
        <f aca="false">Raw!A72</f>
        <v>28961</v>
      </c>
      <c r="B72" s="37" t="str">
        <f aca="false">Raw!B72</f>
        <v>لپ تاپ ایسوس 15.6 اینچی مدل Vivobook 15 X1504VA i7 1355U 8GB 512GB</v>
      </c>
      <c r="C72" s="37" t="str">
        <f aca="false">LOWER(TRIM(Raw!C72))</f>
        <v>asus</v>
      </c>
      <c r="D72" s="37" t="str">
        <f aca="false">IFERROR(INDEX(Params!$B$5:$B$13,MATCH(C72,Params!$A$5:$A$13,0)),PROPER(C72))</f>
        <v>ASUS</v>
      </c>
      <c r="E72" s="37" t="str">
        <f aca="false">IF(Raw!F72,"Available","Out of stock")</f>
        <v>Available</v>
      </c>
      <c r="F72" s="43" t="n">
        <f aca="false">IF(Raw!D72="","",Raw!D72)</f>
        <v>187500000</v>
      </c>
      <c r="G72" s="40" t="n">
        <f aca="false">IF(ISNUMBER(F72),F72/1000000,"")</f>
        <v>187.5</v>
      </c>
      <c r="H72" s="43" t="str">
        <f aca="false">IF(Raw!E72="","",Raw!E72)</f>
        <v/>
      </c>
      <c r="I72" s="42" t="n">
        <f aca="false">IF(AND(ISNUMBER(H72),ISNUMBER(F72)),IF(H72&gt;F72,(H72-F72)/H72,0),0)</f>
        <v>0</v>
      </c>
      <c r="J72" s="39" t="n">
        <f aca="false">IF(I72&gt;0,1,0)</f>
        <v>0</v>
      </c>
      <c r="K72" s="45" t="n">
        <f aca="false">Raw!G72</f>
        <v>4.3</v>
      </c>
      <c r="L72" s="39" t="n">
        <f aca="false">Raw!H72</f>
        <v>24</v>
      </c>
      <c r="M72" s="41" t="n">
        <f aca="false">IF(L72&gt;0,(L72*K72+p_m*p_c)/(L72+p_m),"")</f>
        <v>4.35147058823529</v>
      </c>
      <c r="N72" s="37" t="str">
        <f aca="false">IF(Raw!I72="","",TRIM(Raw!I72))</f>
        <v>Core i7 1355U</v>
      </c>
      <c r="O72" s="37" t="str">
        <f aca="false">IF(N72="","Unknown",IF(LEFT(N72,5)="Apple","Apple",IF(LEFT(N72,5)="Ryzen","AMD","Intel")))</f>
        <v>Intel</v>
      </c>
      <c r="P72" s="37" t="str">
        <f aca="false">IF(N72="","Unknown",IF(LEFT(N72,5)="Apple","Apple Silicon",IF(LEFT(N72,8)="Ryzen AI","Ryzen AI",TRIM(LEFT(N72,7)))))</f>
        <v>Core i7</v>
      </c>
      <c r="Q72" s="39" t="n">
        <f aca="false">IFERROR(VALUE(LEFT(Raw!J72,FIND(" ",Raw!J72)-1)),"")</f>
        <v>8</v>
      </c>
      <c r="R72" s="37" t="str">
        <f aca="false">IF(NOT(ISNUMBER(Q72)),"Unknown",IF(Q72&lt;=8,"≤ 8 GB",IF(Q72&lt;=16,"12–16 GB","20 GB +")))</f>
        <v>≤ 8 GB</v>
      </c>
      <c r="S72" s="37" t="str">
        <f aca="false">IF(Raw!K72="","",IF(ISNUMBER(FIND(" و ",Raw!K72)),TRIM(MID(Raw!K72,FIND(" و ",Raw!K72)+3,100)),TRIM(Raw!K72)))</f>
        <v>512 گیگابایت</v>
      </c>
      <c r="T72" s="43" t="n">
        <f aca="false">IF(S72="","",IFERROR(IFERROR(VALUE(LEFT(S72,FIND(" ",S72)-1)),VALUE(LEFT(S72,LEN(S72)-2)))*IF(OR(ISNUMBER(SEARCH("ترابایت",S72)),ISNUMBER(SEARCH("TB",S72))),1024,1),""))</f>
        <v>512</v>
      </c>
      <c r="U72" s="37" t="str">
        <f aca="false">IF(NOT(ISNUMBER(T72)),"Unknown",IF(T72&lt;=256,"≤ 256 GB",IF(T72&lt;=512,"512 GB","1 TB +")))</f>
        <v>512 GB</v>
      </c>
      <c r="V72" s="45" t="n">
        <f aca="false">IFERROR(VALUE(SUBSTITUTE(LEFT(Raw!L72,FIND(" ",Raw!L72)-1),".",MID(1/2,2,1))),"")</f>
        <v>15.6</v>
      </c>
      <c r="W72" s="41" t="n">
        <f aca="false">IFERROR(VALUE(SUBSTITUTE(LEFT(Raw!N72,FIND(" ",Raw!N72)-1),".",MID(1/2,2,1))),"")</f>
        <v>1.7</v>
      </c>
      <c r="X72" s="37" t="str">
        <f aca="false">IF(Raw!M72="","",TRIM(Raw!M72))</f>
        <v>Intel Intel Iris Xe</v>
      </c>
      <c r="Y72" s="37" t="str">
        <f aca="false">IF(X72="","Unknown",IF(ISNUMBER(SEARCH("nvidia",X72)),"NVIDIA",IF(ISNUMBER(SEARCH("amd",X72)),"AMD",IF(ISNUMBER(SEARCH("apple",X72)),"Apple",IF(ISNUMBER(SEARCH("intel",X72)),"Intel","Other")))))</f>
        <v>Intel</v>
      </c>
      <c r="Z72" s="37" t="str">
        <f aca="false">IF(X72="","Unknown",IF(ISNUMBER(SEARCH("RTX",X72))+ISNUMBER(SEARCH("GTX",X72))+ISNUMBER(SEARCH("nvidia",X72))+ISNUMBER(SEARCH("Radeon RX",X72))&gt;0,"Dedicated","Integrated"))</f>
        <v>Integrated</v>
      </c>
      <c r="AA72" s="37" t="str">
        <f aca="false">IF(ISNUMBER(SEARCH("RTX",X72)),TRIM(MID(X72,SEARCH("RTX",X72),8)),IF(X72="","Unknown",IF(Z72="Dedicated","Dedicated (model n/a)","Integrated")))</f>
        <v>Integrated</v>
      </c>
      <c r="AB72" s="37" t="str">
        <f aca="false">IF(ISNUMBER(G72),INDEX(Params!$E$5:$E$9,MATCH(G72,Params!$D$5:$D$9,1)),"Unknown")</f>
        <v>100–200 M</v>
      </c>
      <c r="AC72" s="45" t="n">
        <f aca="false">IF(AND(ISNUMBER(G72),ISNUMBER(Q72)),IF(Q72&gt;0,G72/Q72,""),"")</f>
        <v>23.4375</v>
      </c>
      <c r="AD72" s="39" t="n">
        <f aca="false">IF(OR(p_excl=0,ISNUMBER(SEARCH("لپ",B72))),1,0)</f>
        <v>1</v>
      </c>
      <c r="AE72" s="39" t="n">
        <f aca="false">IF(AND(AD72=1,OR(fBrand="All",D72=fBrand),OR(fCPU="All",O72=fCPU),OR(fGPU="All",Z72=fGPU),OR(fTier="All",AB72=fTier),OR(fRAM="All",R72=fRAM)),1,0)</f>
        <v>1</v>
      </c>
      <c r="AF72" s="39" t="n">
        <f aca="false">IF(AND(AE72=1,ISNUMBER(G72)),1,0)</f>
        <v>1</v>
      </c>
      <c r="AG72" s="39" t="n">
        <f aca="false">IF(AND(AE72=1,L72&gt;0),1,0)</f>
        <v>1</v>
      </c>
      <c r="AH72" s="40" t="n">
        <f aca="false">IF(AF72=1,G72,"")</f>
        <v>187.5</v>
      </c>
      <c r="AI72" s="39" t="str">
        <f aca="false">IF(COUNTIF($D$2:D72,D72)=1,MAX($AI$1:AI71)+1,"")</f>
        <v/>
      </c>
      <c r="AJ72" s="39" t="str">
        <f aca="false">IF(COUNTIF($P$2:P72,P72)=1,MAX($AJ$1:AJ71)+1,"")</f>
        <v/>
      </c>
      <c r="AK72" s="47" t="n">
        <f aca="false">IF(AG72=1,M72+ROW()/1000000000,"")</f>
        <v>4.35147066023529</v>
      </c>
      <c r="AL72" s="47" t="str">
        <f aca="false">IF(AND(AE72=1,I72&gt;0),I72+ROW()/1000000000,"")</f>
        <v/>
      </c>
      <c r="AM72" s="39" t="n">
        <f aca="false">IF(AND(AF72=1,ISNUMBER(W72),Z72="Dedicated"),1,0)</f>
        <v>0</v>
      </c>
      <c r="AN72" s="39" t="n">
        <f aca="false">SUM($AM$2:AM72)</f>
        <v>21</v>
      </c>
      <c r="AO72" s="39" t="n">
        <f aca="false">IF(AND(AF72=1,ISNUMBER(W72),Z72&lt;&gt;"Dedicated"),1,0)</f>
        <v>1</v>
      </c>
      <c r="AP72" s="39" t="n">
        <f aca="false">SUM($AO$2:AO72)</f>
        <v>43</v>
      </c>
      <c r="AQ72" s="39" t="n">
        <f aca="false">IF(AND(AF72=1,AG72=1),1,0)</f>
        <v>1</v>
      </c>
      <c r="AR72" s="39" t="n">
        <f aca="false">SUM($AQ$2:AQ72)</f>
        <v>70</v>
      </c>
      <c r="AS72" s="45" t="n">
        <f aca="false">IF(AQ72=1,G72,0)</f>
        <v>187.5</v>
      </c>
      <c r="AT72" s="45" t="n">
        <f aca="false">IF(AQ72=1,K72,0)</f>
        <v>4.3</v>
      </c>
      <c r="AU72" s="37" t="str">
        <f aca="false">TRIM(IF(Raw!N72="","weight missing; ","")&amp;IF(Raw!K72="","storage missing; ","")&amp;IF(ISNUMBER(FIND(" و ",Raw!K72)),"dual storage - SSD part used; ","")&amp;IF(ISNUMBER(SEARCH("TB",Raw!K72)),"storage written as TB; ","")&amp;IF(Raw!I72="","cpu missing; ","")&amp;IF(Raw!M72="","gpu missing; ","")&amp;IF(Raw!J72="","ram missing; ","")&amp;IF(Raw!L72="","screen missing; ",""))</f>
        <v/>
      </c>
    </row>
    <row r="73" customFormat="false" ht="15" hidden="false" customHeight="false" outlineLevel="0" collapsed="false">
      <c r="A73" s="39" t="n">
        <f aca="false">Raw!A73</f>
        <v>608728</v>
      </c>
      <c r="B73" s="37" t="str">
        <f aca="false">Raw!B73</f>
        <v>لپ تاپ ایسوس 15.6 اینچی مدل VivoBook E1504FA R5 40 8GB 256GB IPS</v>
      </c>
      <c r="C73" s="37" t="str">
        <f aca="false">LOWER(TRIM(Raw!C73))</f>
        <v>asus</v>
      </c>
      <c r="D73" s="37" t="str">
        <f aca="false">IFERROR(INDEX(Params!$B$5:$B$13,MATCH(C73,Params!$A$5:$A$13,0)),PROPER(C73))</f>
        <v>ASUS</v>
      </c>
      <c r="E73" s="37" t="str">
        <f aca="false">IF(Raw!F73,"Available","Out of stock")</f>
        <v>Available</v>
      </c>
      <c r="F73" s="43" t="n">
        <f aca="false">IF(Raw!D73="","",Raw!D73)</f>
        <v>129900000</v>
      </c>
      <c r="G73" s="40" t="n">
        <f aca="false">IF(ISNUMBER(F73),F73/1000000,"")</f>
        <v>129.9</v>
      </c>
      <c r="H73" s="43" t="str">
        <f aca="false">IF(Raw!E73="","",Raw!E73)</f>
        <v/>
      </c>
      <c r="I73" s="42" t="n">
        <f aca="false">IF(AND(ISNUMBER(H73),ISNUMBER(F73)),IF(H73&gt;F73,(H73-F73)/H73,0),0)</f>
        <v>0</v>
      </c>
      <c r="J73" s="39" t="n">
        <f aca="false">IF(I73&gt;0,1,0)</f>
        <v>0</v>
      </c>
      <c r="K73" s="45" t="n">
        <f aca="false">Raw!G73</f>
        <v>5</v>
      </c>
      <c r="L73" s="39" t="n">
        <f aca="false">Raw!H73</f>
        <v>1</v>
      </c>
      <c r="M73" s="41" t="n">
        <f aca="false">IF(L73&gt;0,(L73*K73+p_m*p_c)/(L73+p_m),"")</f>
        <v>4.52272727272727</v>
      </c>
      <c r="N73" s="37" t="str">
        <f aca="false">IF(Raw!I73="","",TRIM(Raw!I73))</f>
        <v>Ryzen 5 40</v>
      </c>
      <c r="O73" s="37" t="str">
        <f aca="false">IF(N73="","Unknown",IF(LEFT(N73,5)="Apple","Apple",IF(LEFT(N73,5)="Ryzen","AMD","Intel")))</f>
        <v>AMD</v>
      </c>
      <c r="P73" s="37" t="str">
        <f aca="false">IF(N73="","Unknown",IF(LEFT(N73,5)="Apple","Apple Silicon",IF(LEFT(N73,8)="Ryzen AI","Ryzen AI",TRIM(LEFT(N73,7)))))</f>
        <v>Ryzen 5</v>
      </c>
      <c r="Q73" s="39" t="n">
        <f aca="false">IFERROR(VALUE(LEFT(Raw!J73,FIND(" ",Raw!J73)-1)),"")</f>
        <v>8</v>
      </c>
      <c r="R73" s="37" t="str">
        <f aca="false">IF(NOT(ISNUMBER(Q73)),"Unknown",IF(Q73&lt;=8,"≤ 8 GB",IF(Q73&lt;=16,"12–16 GB","20 GB +")))</f>
        <v>≤ 8 GB</v>
      </c>
      <c r="S73" s="37" t="str">
        <f aca="false">IF(Raw!K73="","",IF(ISNUMBER(FIND(" و ",Raw!K73)),TRIM(MID(Raw!K73,FIND(" و ",Raw!K73)+3,100)),TRIM(Raw!K73)))</f>
        <v>256 گیگابایت</v>
      </c>
      <c r="T73" s="43" t="n">
        <f aca="false">IF(S73="","",IFERROR(IFERROR(VALUE(LEFT(S73,FIND(" ",S73)-1)),VALUE(LEFT(S73,LEN(S73)-2)))*IF(OR(ISNUMBER(SEARCH("ترابایت",S73)),ISNUMBER(SEARCH("TB",S73))),1024,1),""))</f>
        <v>256</v>
      </c>
      <c r="U73" s="37" t="str">
        <f aca="false">IF(NOT(ISNUMBER(T73)),"Unknown",IF(T73&lt;=256,"≤ 256 GB",IF(T73&lt;=512,"512 GB","1 TB +")))</f>
        <v>≤ 256 GB</v>
      </c>
      <c r="V73" s="45" t="n">
        <f aca="false">IFERROR(VALUE(SUBSTITUTE(LEFT(Raw!L73,FIND(" ",Raw!L73)-1),".",MID(1/2,2,1))),"")</f>
        <v>15.6</v>
      </c>
      <c r="W73" s="41" t="n">
        <f aca="false">IFERROR(VALUE(SUBSTITUTE(LEFT(Raw!N73,FIND(" ",Raw!N73)-1),".",MID(1/2,2,1))),"")</f>
        <v>1.6</v>
      </c>
      <c r="X73" s="37" t="str">
        <f aca="false">IF(Raw!M73="","",TRIM(Raw!M73))</f>
        <v>AMD Radeon Graphics</v>
      </c>
      <c r="Y73" s="37" t="str">
        <f aca="false">IF(X73="","Unknown",IF(ISNUMBER(SEARCH("nvidia",X73)),"NVIDIA",IF(ISNUMBER(SEARCH("amd",X73)),"AMD",IF(ISNUMBER(SEARCH("apple",X73)),"Apple",IF(ISNUMBER(SEARCH("intel",X73)),"Intel","Other")))))</f>
        <v>AMD</v>
      </c>
      <c r="Z73" s="37" t="str">
        <f aca="false">IF(X73="","Unknown",IF(ISNUMBER(SEARCH("RTX",X73))+ISNUMBER(SEARCH("GTX",X73))+ISNUMBER(SEARCH("nvidia",X73))+ISNUMBER(SEARCH("Radeon RX",X73))&gt;0,"Dedicated","Integrated"))</f>
        <v>Integrated</v>
      </c>
      <c r="AA73" s="37" t="str">
        <f aca="false">IF(ISNUMBER(SEARCH("RTX",X73)),TRIM(MID(X73,SEARCH("RTX",X73),8)),IF(X73="","Unknown",IF(Z73="Dedicated","Dedicated (model n/a)","Integrated")))</f>
        <v>Integrated</v>
      </c>
      <c r="AB73" s="37" t="str">
        <f aca="false">IF(ISNUMBER(G73),INDEX(Params!$E$5:$E$9,MATCH(G73,Params!$D$5:$D$9,1)),"Unknown")</f>
        <v>100–200 M</v>
      </c>
      <c r="AC73" s="45" t="n">
        <f aca="false">IF(AND(ISNUMBER(G73),ISNUMBER(Q73)),IF(Q73&gt;0,G73/Q73,""),"")</f>
        <v>16.2375</v>
      </c>
      <c r="AD73" s="39" t="n">
        <f aca="false">IF(OR(p_excl=0,ISNUMBER(SEARCH("لپ",B73))),1,0)</f>
        <v>1</v>
      </c>
      <c r="AE73" s="39" t="n">
        <f aca="false">IF(AND(AD73=1,OR(fBrand="All",D73=fBrand),OR(fCPU="All",O73=fCPU),OR(fGPU="All",Z73=fGPU),OR(fTier="All",AB73=fTier),OR(fRAM="All",R73=fRAM)),1,0)</f>
        <v>1</v>
      </c>
      <c r="AF73" s="39" t="n">
        <f aca="false">IF(AND(AE73=1,ISNUMBER(G73)),1,0)</f>
        <v>1</v>
      </c>
      <c r="AG73" s="39" t="n">
        <f aca="false">IF(AND(AE73=1,L73&gt;0),1,0)</f>
        <v>1</v>
      </c>
      <c r="AH73" s="40" t="n">
        <f aca="false">IF(AF73=1,G73,"")</f>
        <v>129.9</v>
      </c>
      <c r="AI73" s="39" t="str">
        <f aca="false">IF(COUNTIF($D$2:D73,D73)=1,MAX($AI$1:AI72)+1,"")</f>
        <v/>
      </c>
      <c r="AJ73" s="39" t="str">
        <f aca="false">IF(COUNTIF($P$2:P73,P73)=1,MAX($AJ$1:AJ72)+1,"")</f>
        <v/>
      </c>
      <c r="AK73" s="47" t="n">
        <f aca="false">IF(AG73=1,M73+ROW()/1000000000,"")</f>
        <v>4.52272734572727</v>
      </c>
      <c r="AL73" s="47" t="str">
        <f aca="false">IF(AND(AE73=1,I73&gt;0),I73+ROW()/1000000000,"")</f>
        <v/>
      </c>
      <c r="AM73" s="39" t="n">
        <f aca="false">IF(AND(AF73=1,ISNUMBER(W73),Z73="Dedicated"),1,0)</f>
        <v>0</v>
      </c>
      <c r="AN73" s="39" t="n">
        <f aca="false">SUM($AM$2:AM73)</f>
        <v>21</v>
      </c>
      <c r="AO73" s="39" t="n">
        <f aca="false">IF(AND(AF73=1,ISNUMBER(W73),Z73&lt;&gt;"Dedicated"),1,0)</f>
        <v>1</v>
      </c>
      <c r="AP73" s="39" t="n">
        <f aca="false">SUM($AO$2:AO73)</f>
        <v>44</v>
      </c>
      <c r="AQ73" s="39" t="n">
        <f aca="false">IF(AND(AF73=1,AG73=1),1,0)</f>
        <v>1</v>
      </c>
      <c r="AR73" s="39" t="n">
        <f aca="false">SUM($AQ$2:AQ73)</f>
        <v>71</v>
      </c>
      <c r="AS73" s="45" t="n">
        <f aca="false">IF(AQ73=1,G73,0)</f>
        <v>129.9</v>
      </c>
      <c r="AT73" s="45" t="n">
        <f aca="false">IF(AQ73=1,K73,0)</f>
        <v>5</v>
      </c>
      <c r="AU73" s="37" t="str">
        <f aca="false">TRIM(IF(Raw!N73="","weight missing; ","")&amp;IF(Raw!K73="","storage missing; ","")&amp;IF(ISNUMBER(FIND(" و ",Raw!K73)),"dual storage - SSD part used; ","")&amp;IF(ISNUMBER(SEARCH("TB",Raw!K73)),"storage written as TB; ","")&amp;IF(Raw!I73="","cpu missing; ","")&amp;IF(Raw!M73="","gpu missing; ","")&amp;IF(Raw!J73="","ram missing; ","")&amp;IF(Raw!L73="","screen missing; ",""))</f>
        <v/>
      </c>
    </row>
    <row r="74" customFormat="false" ht="15" hidden="false" customHeight="false" outlineLevel="0" collapsed="false">
      <c r="A74" s="39" t="n">
        <f aca="false">Raw!A74</f>
        <v>597484</v>
      </c>
      <c r="B74" s="37" t="str">
        <f aca="false">Raw!B74</f>
        <v>لپ تاپ ایسوس 16 اینچی مدل TUF Gaming F16 FX607VJB Core 5 210H 16GB 512GB RTX 3050</v>
      </c>
      <c r="C74" s="37" t="str">
        <f aca="false">LOWER(TRIM(Raw!C74))</f>
        <v>asus</v>
      </c>
      <c r="D74" s="37" t="str">
        <f aca="false">IFERROR(INDEX(Params!$B$5:$B$13,MATCH(C74,Params!$A$5:$A$13,0)),PROPER(C74))</f>
        <v>ASUS</v>
      </c>
      <c r="E74" s="37" t="str">
        <f aca="false">IF(Raw!F74,"Available","Out of stock")</f>
        <v>Available</v>
      </c>
      <c r="F74" s="43" t="n">
        <f aca="false">IF(Raw!D74="","",Raw!D74)</f>
        <v>277000000</v>
      </c>
      <c r="G74" s="40" t="n">
        <f aca="false">IF(ISNUMBER(F74),F74/1000000,"")</f>
        <v>277</v>
      </c>
      <c r="H74" s="43" t="n">
        <f aca="false">IF(Raw!E74="","",Raw!E74)</f>
        <v>312000000</v>
      </c>
      <c r="I74" s="42" t="n">
        <f aca="false">IF(AND(ISNUMBER(H74),ISNUMBER(F74)),IF(H74&gt;F74,(H74-F74)/H74,0),0)</f>
        <v>0.112179487179487</v>
      </c>
      <c r="J74" s="39" t="n">
        <f aca="false">IF(I74&gt;0,1,0)</f>
        <v>1</v>
      </c>
      <c r="K74" s="45" t="n">
        <f aca="false">Raw!G74</f>
        <v>5</v>
      </c>
      <c r="L74" s="39" t="n">
        <f aca="false">Raw!H74</f>
        <v>1</v>
      </c>
      <c r="M74" s="41" t="n">
        <f aca="false">IF(L74&gt;0,(L74*K74+p_m*p_c)/(L74+p_m),"")</f>
        <v>4.52272727272727</v>
      </c>
      <c r="N74" s="37" t="str">
        <f aca="false">IF(Raw!I74="","",TRIM(Raw!I74))</f>
        <v>Core 5 210H</v>
      </c>
      <c r="O74" s="37" t="str">
        <f aca="false">IF(N74="","Unknown",IF(LEFT(N74,5)="Apple","Apple",IF(LEFT(N74,5)="Ryzen","AMD","Intel")))</f>
        <v>Intel</v>
      </c>
      <c r="P74" s="37" t="str">
        <f aca="false">IF(N74="","Unknown",IF(LEFT(N74,5)="Apple","Apple Silicon",IF(LEFT(N74,8)="Ryzen AI","Ryzen AI",TRIM(LEFT(N74,7)))))</f>
        <v>Core 5</v>
      </c>
      <c r="Q74" s="39" t="n">
        <f aca="false">IFERROR(VALUE(LEFT(Raw!J74,FIND(" ",Raw!J74)-1)),"")</f>
        <v>16</v>
      </c>
      <c r="R74" s="37" t="str">
        <f aca="false">IF(NOT(ISNUMBER(Q74)),"Unknown",IF(Q74&lt;=8,"≤ 8 GB",IF(Q74&lt;=16,"12–16 GB","20 GB +")))</f>
        <v>12–16 GB</v>
      </c>
      <c r="S74" s="37" t="str">
        <f aca="false">IF(Raw!K74="","",IF(ISNUMBER(FIND(" و ",Raw!K74)),TRIM(MID(Raw!K74,FIND(" و ",Raw!K74)+3,100)),TRIM(Raw!K74)))</f>
        <v>512 گیگابایت</v>
      </c>
      <c r="T74" s="43" t="n">
        <f aca="false">IF(S74="","",IFERROR(IFERROR(VALUE(LEFT(S74,FIND(" ",S74)-1)),VALUE(LEFT(S74,LEN(S74)-2)))*IF(OR(ISNUMBER(SEARCH("ترابایت",S74)),ISNUMBER(SEARCH("TB",S74))),1024,1),""))</f>
        <v>512</v>
      </c>
      <c r="U74" s="37" t="str">
        <f aca="false">IF(NOT(ISNUMBER(T74)),"Unknown",IF(T74&lt;=256,"≤ 256 GB",IF(T74&lt;=512,"512 GB","1 TB +")))</f>
        <v>512 GB</v>
      </c>
      <c r="V74" s="45" t="n">
        <f aca="false">IFERROR(VALUE(SUBSTITUTE(LEFT(Raw!L74,FIND(" ",Raw!L74)-1),".",MID(1/2,2,1))),"")</f>
        <v>16</v>
      </c>
      <c r="W74" s="41" t="n">
        <f aca="false">IFERROR(VALUE(SUBSTITUTE(LEFT(Raw!N74,FIND(" ",Raw!N74)-1),".",MID(1/2,2,1))),"")</f>
        <v>2.2</v>
      </c>
      <c r="X74" s="37" t="str">
        <f aca="false">IF(Raw!M74="","",TRIM(Raw!M74))</f>
        <v>NVIDIA GeForce RTX 3050</v>
      </c>
      <c r="Y74" s="37" t="str">
        <f aca="false">IF(X74="","Unknown",IF(ISNUMBER(SEARCH("nvidia",X74)),"NVIDIA",IF(ISNUMBER(SEARCH("amd",X74)),"AMD",IF(ISNUMBER(SEARCH("apple",X74)),"Apple",IF(ISNUMBER(SEARCH("intel",X74)),"Intel","Other")))))</f>
        <v>NVIDIA</v>
      </c>
      <c r="Z74" s="37" t="str">
        <f aca="false">IF(X74="","Unknown",IF(ISNUMBER(SEARCH("RTX",X74))+ISNUMBER(SEARCH("GTX",X74))+ISNUMBER(SEARCH("nvidia",X74))+ISNUMBER(SEARCH("Radeon RX",X74))&gt;0,"Dedicated","Integrated"))</f>
        <v>Dedicated</v>
      </c>
      <c r="AA74" s="37" t="str">
        <f aca="false">IF(ISNUMBER(SEARCH("RTX",X74)),TRIM(MID(X74,SEARCH("RTX",X74),8)),IF(X74="","Unknown",IF(Z74="Dedicated","Dedicated (model n/a)","Integrated")))</f>
        <v>RTX 3050</v>
      </c>
      <c r="AB74" s="37" t="str">
        <f aca="false">IF(ISNUMBER(G74),INDEX(Params!$E$5:$E$9,MATCH(G74,Params!$D$5:$D$9,1)),"Unknown")</f>
        <v>200–300 M</v>
      </c>
      <c r="AC74" s="45" t="n">
        <f aca="false">IF(AND(ISNUMBER(G74),ISNUMBER(Q74)),IF(Q74&gt;0,G74/Q74,""),"")</f>
        <v>17.3125</v>
      </c>
      <c r="AD74" s="39" t="n">
        <f aca="false">IF(OR(p_excl=0,ISNUMBER(SEARCH("لپ",B74))),1,0)</f>
        <v>1</v>
      </c>
      <c r="AE74" s="39" t="n">
        <f aca="false">IF(AND(AD74=1,OR(fBrand="All",D74=fBrand),OR(fCPU="All",O74=fCPU),OR(fGPU="All",Z74=fGPU),OR(fTier="All",AB74=fTier),OR(fRAM="All",R74=fRAM)),1,0)</f>
        <v>1</v>
      </c>
      <c r="AF74" s="39" t="n">
        <f aca="false">IF(AND(AE74=1,ISNUMBER(G74)),1,0)</f>
        <v>1</v>
      </c>
      <c r="AG74" s="39" t="n">
        <f aca="false">IF(AND(AE74=1,L74&gt;0),1,0)</f>
        <v>1</v>
      </c>
      <c r="AH74" s="40" t="n">
        <f aca="false">IF(AF74=1,G74,"")</f>
        <v>277</v>
      </c>
      <c r="AI74" s="39" t="str">
        <f aca="false">IF(COUNTIF($D$2:D74,D74)=1,MAX($AI$1:AI73)+1,"")</f>
        <v/>
      </c>
      <c r="AJ74" s="39" t="str">
        <f aca="false">IF(COUNTIF($P$2:P74,P74)=1,MAX($AJ$1:AJ73)+1,"")</f>
        <v/>
      </c>
      <c r="AK74" s="47" t="n">
        <f aca="false">IF(AG74=1,M74+ROW()/1000000000,"")</f>
        <v>4.52272734672727</v>
      </c>
      <c r="AL74" s="47" t="n">
        <f aca="false">IF(AND(AE74=1,I74&gt;0),I74+ROW()/1000000000,"")</f>
        <v>0.112179561179487</v>
      </c>
      <c r="AM74" s="39" t="n">
        <f aca="false">IF(AND(AF74=1,ISNUMBER(W74),Z74="Dedicated"),1,0)</f>
        <v>1</v>
      </c>
      <c r="AN74" s="39" t="n">
        <f aca="false">SUM($AM$2:AM74)</f>
        <v>22</v>
      </c>
      <c r="AO74" s="39" t="n">
        <f aca="false">IF(AND(AF74=1,ISNUMBER(W74),Z74&lt;&gt;"Dedicated"),1,0)</f>
        <v>0</v>
      </c>
      <c r="AP74" s="39" t="n">
        <f aca="false">SUM($AO$2:AO74)</f>
        <v>44</v>
      </c>
      <c r="AQ74" s="39" t="n">
        <f aca="false">IF(AND(AF74=1,AG74=1),1,0)</f>
        <v>1</v>
      </c>
      <c r="AR74" s="39" t="n">
        <f aca="false">SUM($AQ$2:AQ74)</f>
        <v>72</v>
      </c>
      <c r="AS74" s="45" t="n">
        <f aca="false">IF(AQ74=1,G74,0)</f>
        <v>277</v>
      </c>
      <c r="AT74" s="45" t="n">
        <f aca="false">IF(AQ74=1,K74,0)</f>
        <v>5</v>
      </c>
      <c r="AU74" s="37" t="str">
        <f aca="false">TRIM(IF(Raw!N74="","weight missing; ","")&amp;IF(Raw!K74="","storage missing; ","")&amp;IF(ISNUMBER(FIND(" و ",Raw!K74)),"dual storage - SSD part used; ","")&amp;IF(ISNUMBER(SEARCH("TB",Raw!K74)),"storage written as TB; ","")&amp;IF(Raw!I74="","cpu missing; ","")&amp;IF(Raw!M74="","gpu missing; ","")&amp;IF(Raw!J74="","ram missing; ","")&amp;IF(Raw!L74="","screen missing; ",""))</f>
        <v/>
      </c>
    </row>
    <row r="75" customFormat="false" ht="15" hidden="false" customHeight="false" outlineLevel="0" collapsed="false">
      <c r="A75" s="39" t="n">
        <f aca="false">Raw!A75</f>
        <v>597249</v>
      </c>
      <c r="B75" s="37" t="str">
        <f aca="false">Raw!B75</f>
        <v>لپ تاپ اچ پی 15.6 اینچی مدل HP 15-FC0124nia 15 Ryzen 3 7320U 8GB 512GB</v>
      </c>
      <c r="C75" s="37" t="str">
        <f aca="false">LOWER(TRIM(Raw!C75))</f>
        <v>hp</v>
      </c>
      <c r="D75" s="37" t="str">
        <f aca="false">IFERROR(INDEX(Params!$B$5:$B$13,MATCH(C75,Params!$A$5:$A$13,0)),PROPER(C75))</f>
        <v>HP</v>
      </c>
      <c r="E75" s="37" t="str">
        <f aca="false">IF(Raw!F75,"Available","Out of stock")</f>
        <v>Available</v>
      </c>
      <c r="F75" s="43" t="n">
        <f aca="false">IF(Raw!D75="","",Raw!D75)</f>
        <v>127000000</v>
      </c>
      <c r="G75" s="40" t="n">
        <f aca="false">IF(ISNUMBER(F75),F75/1000000,"")</f>
        <v>127</v>
      </c>
      <c r="H75" s="43" t="str">
        <f aca="false">IF(Raw!E75="","",Raw!E75)</f>
        <v/>
      </c>
      <c r="I75" s="42" t="n">
        <f aca="false">IF(AND(ISNUMBER(H75),ISNUMBER(F75)),IF(H75&gt;F75,(H75-F75)/H75,0),0)</f>
        <v>0</v>
      </c>
      <c r="J75" s="39" t="n">
        <f aca="false">IF(I75&gt;0,1,0)</f>
        <v>0</v>
      </c>
      <c r="K75" s="45" t="n">
        <f aca="false">Raw!G75</f>
        <v>5</v>
      </c>
      <c r="L75" s="39" t="n">
        <f aca="false">Raw!H75</f>
        <v>1</v>
      </c>
      <c r="M75" s="41" t="n">
        <f aca="false">IF(L75&gt;0,(L75*K75+p_m*p_c)/(L75+p_m),"")</f>
        <v>4.52272727272727</v>
      </c>
      <c r="N75" s="37" t="str">
        <f aca="false">IF(Raw!I75="","",TRIM(Raw!I75))</f>
        <v>Ryzen 3 7320U</v>
      </c>
      <c r="O75" s="37" t="str">
        <f aca="false">IF(N75="","Unknown",IF(LEFT(N75,5)="Apple","Apple",IF(LEFT(N75,5)="Ryzen","AMD","Intel")))</f>
        <v>AMD</v>
      </c>
      <c r="P75" s="37" t="str">
        <f aca="false">IF(N75="","Unknown",IF(LEFT(N75,5)="Apple","Apple Silicon",IF(LEFT(N75,8)="Ryzen AI","Ryzen AI",TRIM(LEFT(N75,7)))))</f>
        <v>Ryzen 3</v>
      </c>
      <c r="Q75" s="39" t="n">
        <f aca="false">IFERROR(VALUE(LEFT(Raw!J75,FIND(" ",Raw!J75)-1)),"")</f>
        <v>8</v>
      </c>
      <c r="R75" s="37" t="str">
        <f aca="false">IF(NOT(ISNUMBER(Q75)),"Unknown",IF(Q75&lt;=8,"≤ 8 GB",IF(Q75&lt;=16,"12–16 GB","20 GB +")))</f>
        <v>≤ 8 GB</v>
      </c>
      <c r="S75" s="37" t="str">
        <f aca="false">IF(Raw!K75="","",IF(ISNUMBER(FIND(" و ",Raw!K75)),TRIM(MID(Raw!K75,FIND(" و ",Raw!K75)+3,100)),TRIM(Raw!K75)))</f>
        <v>512 گیگابایت</v>
      </c>
      <c r="T75" s="43" t="n">
        <f aca="false">IF(S75="","",IFERROR(IFERROR(VALUE(LEFT(S75,FIND(" ",S75)-1)),VALUE(LEFT(S75,LEN(S75)-2)))*IF(OR(ISNUMBER(SEARCH("ترابایت",S75)),ISNUMBER(SEARCH("TB",S75))),1024,1),""))</f>
        <v>512</v>
      </c>
      <c r="U75" s="37" t="str">
        <f aca="false">IF(NOT(ISNUMBER(T75)),"Unknown",IF(T75&lt;=256,"≤ 256 GB",IF(T75&lt;=512,"512 GB","1 TB +")))</f>
        <v>512 GB</v>
      </c>
      <c r="V75" s="45" t="n">
        <f aca="false">IFERROR(VALUE(SUBSTITUTE(LEFT(Raw!L75,FIND(" ",Raw!L75)-1),".",MID(1/2,2,1))),"")</f>
        <v>15.6</v>
      </c>
      <c r="W75" s="41" t="n">
        <f aca="false">IFERROR(VALUE(SUBSTITUTE(LEFT(Raw!N75,FIND(" ",Raw!N75)-1),".",MID(1/2,2,1))),"")</f>
        <v>1.59</v>
      </c>
      <c r="X75" s="37" t="str">
        <f aca="false">IF(Raw!M75="","",TRIM(Raw!M75))</f>
        <v>AMD Radeon Graphics</v>
      </c>
      <c r="Y75" s="37" t="str">
        <f aca="false">IF(X75="","Unknown",IF(ISNUMBER(SEARCH("nvidia",X75)),"NVIDIA",IF(ISNUMBER(SEARCH("amd",X75)),"AMD",IF(ISNUMBER(SEARCH("apple",X75)),"Apple",IF(ISNUMBER(SEARCH("intel",X75)),"Intel","Other")))))</f>
        <v>AMD</v>
      </c>
      <c r="Z75" s="37" t="str">
        <f aca="false">IF(X75="","Unknown",IF(ISNUMBER(SEARCH("RTX",X75))+ISNUMBER(SEARCH("GTX",X75))+ISNUMBER(SEARCH("nvidia",X75))+ISNUMBER(SEARCH("Radeon RX",X75))&gt;0,"Dedicated","Integrated"))</f>
        <v>Integrated</v>
      </c>
      <c r="AA75" s="37" t="str">
        <f aca="false">IF(ISNUMBER(SEARCH("RTX",X75)),TRIM(MID(X75,SEARCH("RTX",X75),8)),IF(X75="","Unknown",IF(Z75="Dedicated","Dedicated (model n/a)","Integrated")))</f>
        <v>Integrated</v>
      </c>
      <c r="AB75" s="37" t="str">
        <f aca="false">IF(ISNUMBER(G75),INDEX(Params!$E$5:$E$9,MATCH(G75,Params!$D$5:$D$9,1)),"Unknown")</f>
        <v>100–200 M</v>
      </c>
      <c r="AC75" s="45" t="n">
        <f aca="false">IF(AND(ISNUMBER(G75),ISNUMBER(Q75)),IF(Q75&gt;0,G75/Q75,""),"")</f>
        <v>15.875</v>
      </c>
      <c r="AD75" s="39" t="n">
        <f aca="false">IF(OR(p_excl=0,ISNUMBER(SEARCH("لپ",B75))),1,0)</f>
        <v>1</v>
      </c>
      <c r="AE75" s="39" t="n">
        <f aca="false">IF(AND(AD75=1,OR(fBrand="All",D75=fBrand),OR(fCPU="All",O75=fCPU),OR(fGPU="All",Z75=fGPU),OR(fTier="All",AB75=fTier),OR(fRAM="All",R75=fRAM)),1,0)</f>
        <v>1</v>
      </c>
      <c r="AF75" s="39" t="n">
        <f aca="false">IF(AND(AE75=1,ISNUMBER(G75)),1,0)</f>
        <v>1</v>
      </c>
      <c r="AG75" s="39" t="n">
        <f aca="false">IF(AND(AE75=1,L75&gt;0),1,0)</f>
        <v>1</v>
      </c>
      <c r="AH75" s="40" t="n">
        <f aca="false">IF(AF75=1,G75,"")</f>
        <v>127</v>
      </c>
      <c r="AI75" s="39" t="str">
        <f aca="false">IF(COUNTIF($D$2:D75,D75)=1,MAX($AI$1:AI74)+1,"")</f>
        <v/>
      </c>
      <c r="AJ75" s="39" t="str">
        <f aca="false">IF(COUNTIF($P$2:P75,P75)=1,MAX($AJ$1:AJ74)+1,"")</f>
        <v/>
      </c>
      <c r="AK75" s="47" t="n">
        <f aca="false">IF(AG75=1,M75+ROW()/1000000000,"")</f>
        <v>4.52272734772727</v>
      </c>
      <c r="AL75" s="47" t="str">
        <f aca="false">IF(AND(AE75=1,I75&gt;0),I75+ROW()/1000000000,"")</f>
        <v/>
      </c>
      <c r="AM75" s="39" t="n">
        <f aca="false">IF(AND(AF75=1,ISNUMBER(W75),Z75="Dedicated"),1,0)</f>
        <v>0</v>
      </c>
      <c r="AN75" s="39" t="n">
        <f aca="false">SUM($AM$2:AM75)</f>
        <v>22</v>
      </c>
      <c r="AO75" s="39" t="n">
        <f aca="false">IF(AND(AF75=1,ISNUMBER(W75),Z75&lt;&gt;"Dedicated"),1,0)</f>
        <v>1</v>
      </c>
      <c r="AP75" s="39" t="n">
        <f aca="false">SUM($AO$2:AO75)</f>
        <v>45</v>
      </c>
      <c r="AQ75" s="39" t="n">
        <f aca="false">IF(AND(AF75=1,AG75=1),1,0)</f>
        <v>1</v>
      </c>
      <c r="AR75" s="39" t="n">
        <f aca="false">SUM($AQ$2:AQ75)</f>
        <v>73</v>
      </c>
      <c r="AS75" s="45" t="n">
        <f aca="false">IF(AQ75=1,G75,0)</f>
        <v>127</v>
      </c>
      <c r="AT75" s="45" t="n">
        <f aca="false">IF(AQ75=1,K75,0)</f>
        <v>5</v>
      </c>
      <c r="AU75" s="37" t="str">
        <f aca="false">TRIM(IF(Raw!N75="","weight missing; ","")&amp;IF(Raw!K75="","storage missing; ","")&amp;IF(ISNUMBER(FIND(" و ",Raw!K75)),"dual storage - SSD part used; ","")&amp;IF(ISNUMBER(SEARCH("TB",Raw!K75)),"storage written as TB; ","")&amp;IF(Raw!I75="","cpu missing; ","")&amp;IF(Raw!M75="","gpu missing; ","")&amp;IF(Raw!J75="","ram missing; ","")&amp;IF(Raw!L75="","screen missing; ",""))</f>
        <v/>
      </c>
    </row>
    <row r="76" customFormat="false" ht="15" hidden="false" customHeight="false" outlineLevel="0" collapsed="false">
      <c r="A76" s="39" t="n">
        <f aca="false">Raw!A76</f>
        <v>588477</v>
      </c>
      <c r="B76" s="37" t="str">
        <f aca="false">Raw!B76</f>
        <v>لپ تاپ ایسوس 16 اینچی مدل Vivobook X1605VA i7 13620H 16GB 1TB</v>
      </c>
      <c r="C76" s="37" t="str">
        <f aca="false">LOWER(TRIM(Raw!C76))</f>
        <v>asus</v>
      </c>
      <c r="D76" s="37" t="str">
        <f aca="false">IFERROR(INDEX(Params!$B$5:$B$13,MATCH(C76,Params!$A$5:$A$13,0)),PROPER(C76))</f>
        <v>ASUS</v>
      </c>
      <c r="E76" s="37" t="str">
        <f aca="false">IF(Raw!F76,"Available","Out of stock")</f>
        <v>Available</v>
      </c>
      <c r="F76" s="43" t="n">
        <f aca="false">IF(Raw!D76="","",Raw!D76)</f>
        <v>249000000</v>
      </c>
      <c r="G76" s="40" t="n">
        <f aca="false">IF(ISNUMBER(F76),F76/1000000,"")</f>
        <v>249</v>
      </c>
      <c r="H76" s="43" t="str">
        <f aca="false">IF(Raw!E76="","",Raw!E76)</f>
        <v/>
      </c>
      <c r="I76" s="42" t="n">
        <f aca="false">IF(AND(ISNUMBER(H76),ISNUMBER(F76)),IF(H76&gt;F76,(H76-F76)/H76,0),0)</f>
        <v>0</v>
      </c>
      <c r="J76" s="39" t="n">
        <f aca="false">IF(I76&gt;0,1,0)</f>
        <v>0</v>
      </c>
      <c r="K76" s="45" t="n">
        <f aca="false">Raw!G76</f>
        <v>5</v>
      </c>
      <c r="L76" s="39" t="n">
        <f aca="false">Raw!H76</f>
        <v>1</v>
      </c>
      <c r="M76" s="41" t="n">
        <f aca="false">IF(L76&gt;0,(L76*K76+p_m*p_c)/(L76+p_m),"")</f>
        <v>4.52272727272727</v>
      </c>
      <c r="N76" s="37" t="str">
        <f aca="false">IF(Raw!I76="","",TRIM(Raw!I76))</f>
        <v>Core i7 13620H</v>
      </c>
      <c r="O76" s="37" t="str">
        <f aca="false">IF(N76="","Unknown",IF(LEFT(N76,5)="Apple","Apple",IF(LEFT(N76,5)="Ryzen","AMD","Intel")))</f>
        <v>Intel</v>
      </c>
      <c r="P76" s="37" t="str">
        <f aca="false">IF(N76="","Unknown",IF(LEFT(N76,5)="Apple","Apple Silicon",IF(LEFT(N76,8)="Ryzen AI","Ryzen AI",TRIM(LEFT(N76,7)))))</f>
        <v>Core i7</v>
      </c>
      <c r="Q76" s="39" t="n">
        <f aca="false">IFERROR(VALUE(LEFT(Raw!J76,FIND(" ",Raw!J76)-1)),"")</f>
        <v>16</v>
      </c>
      <c r="R76" s="37" t="str">
        <f aca="false">IF(NOT(ISNUMBER(Q76)),"Unknown",IF(Q76&lt;=8,"≤ 8 GB",IF(Q76&lt;=16,"12–16 GB","20 GB +")))</f>
        <v>12–16 GB</v>
      </c>
      <c r="S76" s="37" t="str">
        <f aca="false">IF(Raw!K76="","",IF(ISNUMBER(FIND(" و ",Raw!K76)),TRIM(MID(Raw!K76,FIND(" و ",Raw!K76)+3,100)),TRIM(Raw!K76)))</f>
        <v>1 ترابایت</v>
      </c>
      <c r="T76" s="43" t="n">
        <f aca="false">IF(S76="","",IFERROR(IFERROR(VALUE(LEFT(S76,FIND(" ",S76)-1)),VALUE(LEFT(S76,LEN(S76)-2)))*IF(OR(ISNUMBER(SEARCH("ترابایت",S76)),ISNUMBER(SEARCH("TB",S76))),1024,1),""))</f>
        <v>1024</v>
      </c>
      <c r="U76" s="37" t="str">
        <f aca="false">IF(NOT(ISNUMBER(T76)),"Unknown",IF(T76&lt;=256,"≤ 256 GB",IF(T76&lt;=512,"512 GB","1 TB +")))</f>
        <v>1 TB +</v>
      </c>
      <c r="V76" s="45" t="n">
        <f aca="false">IFERROR(VALUE(SUBSTITUTE(LEFT(Raw!L76,FIND(" ",Raw!L76)-1),".",MID(1/2,2,1))),"")</f>
        <v>16</v>
      </c>
      <c r="W76" s="41" t="n">
        <f aca="false">IFERROR(VALUE(SUBSTITUTE(LEFT(Raw!N76,FIND(" ",Raw!N76)-1),".",MID(1/2,2,1))),"")</f>
        <v>1.8</v>
      </c>
      <c r="X76" s="37" t="str">
        <f aca="false">IF(Raw!M76="","",TRIM(Raw!M76))</f>
        <v>Intel</v>
      </c>
      <c r="Y76" s="37" t="str">
        <f aca="false">IF(X76="","Unknown",IF(ISNUMBER(SEARCH("nvidia",X76)),"NVIDIA",IF(ISNUMBER(SEARCH("amd",X76)),"AMD",IF(ISNUMBER(SEARCH("apple",X76)),"Apple",IF(ISNUMBER(SEARCH("intel",X76)),"Intel","Other")))))</f>
        <v>Intel</v>
      </c>
      <c r="Z76" s="37" t="str">
        <f aca="false">IF(X76="","Unknown",IF(ISNUMBER(SEARCH("RTX",X76))+ISNUMBER(SEARCH("GTX",X76))+ISNUMBER(SEARCH("nvidia",X76))+ISNUMBER(SEARCH("Radeon RX",X76))&gt;0,"Dedicated","Integrated"))</f>
        <v>Integrated</v>
      </c>
      <c r="AA76" s="37" t="str">
        <f aca="false">IF(ISNUMBER(SEARCH("RTX",X76)),TRIM(MID(X76,SEARCH("RTX",X76),8)),IF(X76="","Unknown",IF(Z76="Dedicated","Dedicated (model n/a)","Integrated")))</f>
        <v>Integrated</v>
      </c>
      <c r="AB76" s="37" t="str">
        <f aca="false">IF(ISNUMBER(G76),INDEX(Params!$E$5:$E$9,MATCH(G76,Params!$D$5:$D$9,1)),"Unknown")</f>
        <v>200–300 M</v>
      </c>
      <c r="AC76" s="45" t="n">
        <f aca="false">IF(AND(ISNUMBER(G76),ISNUMBER(Q76)),IF(Q76&gt;0,G76/Q76,""),"")</f>
        <v>15.5625</v>
      </c>
      <c r="AD76" s="39" t="n">
        <f aca="false">IF(OR(p_excl=0,ISNUMBER(SEARCH("لپ",B76))),1,0)</f>
        <v>1</v>
      </c>
      <c r="AE76" s="39" t="n">
        <f aca="false">IF(AND(AD76=1,OR(fBrand="All",D76=fBrand),OR(fCPU="All",O76=fCPU),OR(fGPU="All",Z76=fGPU),OR(fTier="All",AB76=fTier),OR(fRAM="All",R76=fRAM)),1,0)</f>
        <v>1</v>
      </c>
      <c r="AF76" s="39" t="n">
        <f aca="false">IF(AND(AE76=1,ISNUMBER(G76)),1,0)</f>
        <v>1</v>
      </c>
      <c r="AG76" s="39" t="n">
        <f aca="false">IF(AND(AE76=1,L76&gt;0),1,0)</f>
        <v>1</v>
      </c>
      <c r="AH76" s="40" t="n">
        <f aca="false">IF(AF76=1,G76,"")</f>
        <v>249</v>
      </c>
      <c r="AI76" s="39" t="str">
        <f aca="false">IF(COUNTIF($D$2:D76,D76)=1,MAX($AI$1:AI75)+1,"")</f>
        <v/>
      </c>
      <c r="AJ76" s="39" t="str">
        <f aca="false">IF(COUNTIF($P$2:P76,P76)=1,MAX($AJ$1:AJ75)+1,"")</f>
        <v/>
      </c>
      <c r="AK76" s="47" t="n">
        <f aca="false">IF(AG76=1,M76+ROW()/1000000000,"")</f>
        <v>4.52272734872727</v>
      </c>
      <c r="AL76" s="47" t="str">
        <f aca="false">IF(AND(AE76=1,I76&gt;0),I76+ROW()/1000000000,"")</f>
        <v/>
      </c>
      <c r="AM76" s="39" t="n">
        <f aca="false">IF(AND(AF76=1,ISNUMBER(W76),Z76="Dedicated"),1,0)</f>
        <v>0</v>
      </c>
      <c r="AN76" s="39" t="n">
        <f aca="false">SUM($AM$2:AM76)</f>
        <v>22</v>
      </c>
      <c r="AO76" s="39" t="n">
        <f aca="false">IF(AND(AF76=1,ISNUMBER(W76),Z76&lt;&gt;"Dedicated"),1,0)</f>
        <v>1</v>
      </c>
      <c r="AP76" s="39" t="n">
        <f aca="false">SUM($AO$2:AO76)</f>
        <v>46</v>
      </c>
      <c r="AQ76" s="39" t="n">
        <f aca="false">IF(AND(AF76=1,AG76=1),1,0)</f>
        <v>1</v>
      </c>
      <c r="AR76" s="39" t="n">
        <f aca="false">SUM($AQ$2:AQ76)</f>
        <v>74</v>
      </c>
      <c r="AS76" s="45" t="n">
        <f aca="false">IF(AQ76=1,G76,0)</f>
        <v>249</v>
      </c>
      <c r="AT76" s="45" t="n">
        <f aca="false">IF(AQ76=1,K76,0)</f>
        <v>5</v>
      </c>
      <c r="AU76" s="37" t="str">
        <f aca="false">TRIM(IF(Raw!N76="","weight missing; ","")&amp;IF(Raw!K76="","storage missing; ","")&amp;IF(ISNUMBER(FIND(" و ",Raw!K76)),"dual storage - SSD part used; ","")&amp;IF(ISNUMBER(SEARCH("TB",Raw!K76)),"storage written as TB; ","")&amp;IF(Raw!I76="","cpu missing; ","")&amp;IF(Raw!M76="","gpu missing; ","")&amp;IF(Raw!J76="","ram missing; ","")&amp;IF(Raw!L76="","screen missing; ",""))</f>
        <v/>
      </c>
    </row>
    <row r="77" customFormat="false" ht="15" hidden="false" customHeight="false" outlineLevel="0" collapsed="false">
      <c r="A77" s="39" t="n">
        <f aca="false">Raw!A77</f>
        <v>588147</v>
      </c>
      <c r="B77" s="37" t="str">
        <f aca="false">Raw!B77</f>
        <v>لپ تاپ 15.6 اینچی ایسوس مدل ExpertBook B1503CVA i3 1315U 8GB 512GB</v>
      </c>
      <c r="C77" s="37" t="str">
        <f aca="false">LOWER(TRIM(Raw!C77))</f>
        <v>asus</v>
      </c>
      <c r="D77" s="37" t="str">
        <f aca="false">IFERROR(INDEX(Params!$B$5:$B$13,MATCH(C77,Params!$A$5:$A$13,0)),PROPER(C77))</f>
        <v>ASUS</v>
      </c>
      <c r="E77" s="37" t="str">
        <f aca="false">IF(Raw!F77,"Available","Out of stock")</f>
        <v>Available</v>
      </c>
      <c r="F77" s="43" t="n">
        <f aca="false">IF(Raw!D77="","",Raw!D77)</f>
        <v>155800000</v>
      </c>
      <c r="G77" s="40" t="n">
        <f aca="false">IF(ISNUMBER(F77),F77/1000000,"")</f>
        <v>155.8</v>
      </c>
      <c r="H77" s="43" t="str">
        <f aca="false">IF(Raw!E77="","",Raw!E77)</f>
        <v/>
      </c>
      <c r="I77" s="42" t="n">
        <f aca="false">IF(AND(ISNUMBER(H77),ISNUMBER(F77)),IF(H77&gt;F77,(H77-F77)/H77,0),0)</f>
        <v>0</v>
      </c>
      <c r="J77" s="39" t="n">
        <f aca="false">IF(I77&gt;0,1,0)</f>
        <v>0</v>
      </c>
      <c r="K77" s="45" t="n">
        <f aca="false">Raw!G77</f>
        <v>5</v>
      </c>
      <c r="L77" s="39" t="n">
        <f aca="false">Raw!H77</f>
        <v>1</v>
      </c>
      <c r="M77" s="41" t="n">
        <f aca="false">IF(L77&gt;0,(L77*K77+p_m*p_c)/(L77+p_m),"")</f>
        <v>4.52272727272727</v>
      </c>
      <c r="N77" s="37" t="str">
        <f aca="false">IF(Raw!I77="","",TRIM(Raw!I77))</f>
        <v>Core i3 1315U</v>
      </c>
      <c r="O77" s="37" t="str">
        <f aca="false">IF(N77="","Unknown",IF(LEFT(N77,5)="Apple","Apple",IF(LEFT(N77,5)="Ryzen","AMD","Intel")))</f>
        <v>Intel</v>
      </c>
      <c r="P77" s="37" t="str">
        <f aca="false">IF(N77="","Unknown",IF(LEFT(N77,5)="Apple","Apple Silicon",IF(LEFT(N77,8)="Ryzen AI","Ryzen AI",TRIM(LEFT(N77,7)))))</f>
        <v>Core i3</v>
      </c>
      <c r="Q77" s="39" t="n">
        <f aca="false">IFERROR(VALUE(LEFT(Raw!J77,FIND(" ",Raw!J77)-1)),"")</f>
        <v>8</v>
      </c>
      <c r="R77" s="37" t="str">
        <f aca="false">IF(NOT(ISNUMBER(Q77)),"Unknown",IF(Q77&lt;=8,"≤ 8 GB",IF(Q77&lt;=16,"12–16 GB","20 GB +")))</f>
        <v>≤ 8 GB</v>
      </c>
      <c r="S77" s="37" t="str">
        <f aca="false">IF(Raw!K77="","",IF(ISNUMBER(FIND(" و ",Raw!K77)),TRIM(MID(Raw!K77,FIND(" و ",Raw!K77)+3,100)),TRIM(Raw!K77)))</f>
        <v>512 گیگابایت</v>
      </c>
      <c r="T77" s="43" t="n">
        <f aca="false">IF(S77="","",IFERROR(IFERROR(VALUE(LEFT(S77,FIND(" ",S77)-1)),VALUE(LEFT(S77,LEN(S77)-2)))*IF(OR(ISNUMBER(SEARCH("ترابایت",S77)),ISNUMBER(SEARCH("TB",S77))),1024,1),""))</f>
        <v>512</v>
      </c>
      <c r="U77" s="37" t="str">
        <f aca="false">IF(NOT(ISNUMBER(T77)),"Unknown",IF(T77&lt;=256,"≤ 256 GB",IF(T77&lt;=512,"512 GB","1 TB +")))</f>
        <v>512 GB</v>
      </c>
      <c r="V77" s="45" t="n">
        <f aca="false">IFERROR(VALUE(SUBSTITUTE(LEFT(Raw!L77,FIND(" ",Raw!L77)-1),".",MID(1/2,2,1))),"")</f>
        <v>15.6</v>
      </c>
      <c r="W77" s="41" t="n">
        <f aca="false">IFERROR(VALUE(SUBSTITUTE(LEFT(Raw!N77,FIND(" ",Raw!N77)-1),".",MID(1/2,2,1))),"")</f>
        <v>1.63</v>
      </c>
      <c r="X77" s="37" t="str">
        <f aca="false">IF(Raw!M77="","",TRIM(Raw!M77))</f>
        <v>intel Intel Iris Xe</v>
      </c>
      <c r="Y77" s="37" t="str">
        <f aca="false">IF(X77="","Unknown",IF(ISNUMBER(SEARCH("nvidia",X77)),"NVIDIA",IF(ISNUMBER(SEARCH("amd",X77)),"AMD",IF(ISNUMBER(SEARCH("apple",X77)),"Apple",IF(ISNUMBER(SEARCH("intel",X77)),"Intel","Other")))))</f>
        <v>Intel</v>
      </c>
      <c r="Z77" s="37" t="str">
        <f aca="false">IF(X77="","Unknown",IF(ISNUMBER(SEARCH("RTX",X77))+ISNUMBER(SEARCH("GTX",X77))+ISNUMBER(SEARCH("nvidia",X77))+ISNUMBER(SEARCH("Radeon RX",X77))&gt;0,"Dedicated","Integrated"))</f>
        <v>Integrated</v>
      </c>
      <c r="AA77" s="37" t="str">
        <f aca="false">IF(ISNUMBER(SEARCH("RTX",X77)),TRIM(MID(X77,SEARCH("RTX",X77),8)),IF(X77="","Unknown",IF(Z77="Dedicated","Dedicated (model n/a)","Integrated")))</f>
        <v>Integrated</v>
      </c>
      <c r="AB77" s="37" t="str">
        <f aca="false">IF(ISNUMBER(G77),INDEX(Params!$E$5:$E$9,MATCH(G77,Params!$D$5:$D$9,1)),"Unknown")</f>
        <v>100–200 M</v>
      </c>
      <c r="AC77" s="45" t="n">
        <f aca="false">IF(AND(ISNUMBER(G77),ISNUMBER(Q77)),IF(Q77&gt;0,G77/Q77,""),"")</f>
        <v>19.475</v>
      </c>
      <c r="AD77" s="39" t="n">
        <f aca="false">IF(OR(p_excl=0,ISNUMBER(SEARCH("لپ",B77))),1,0)</f>
        <v>1</v>
      </c>
      <c r="AE77" s="39" t="n">
        <f aca="false">IF(AND(AD77=1,OR(fBrand="All",D77=fBrand),OR(fCPU="All",O77=fCPU),OR(fGPU="All",Z77=fGPU),OR(fTier="All",AB77=fTier),OR(fRAM="All",R77=fRAM)),1,0)</f>
        <v>1</v>
      </c>
      <c r="AF77" s="39" t="n">
        <f aca="false">IF(AND(AE77=1,ISNUMBER(G77)),1,0)</f>
        <v>1</v>
      </c>
      <c r="AG77" s="39" t="n">
        <f aca="false">IF(AND(AE77=1,L77&gt;0),1,0)</f>
        <v>1</v>
      </c>
      <c r="AH77" s="40" t="n">
        <f aca="false">IF(AF77=1,G77,"")</f>
        <v>155.8</v>
      </c>
      <c r="AI77" s="39" t="str">
        <f aca="false">IF(COUNTIF($D$2:D77,D77)=1,MAX($AI$1:AI76)+1,"")</f>
        <v/>
      </c>
      <c r="AJ77" s="39" t="str">
        <f aca="false">IF(COUNTIF($P$2:P77,P77)=1,MAX($AJ$1:AJ76)+1,"")</f>
        <v/>
      </c>
      <c r="AK77" s="47" t="n">
        <f aca="false">IF(AG77=1,M77+ROW()/1000000000,"")</f>
        <v>4.52272734972727</v>
      </c>
      <c r="AL77" s="47" t="str">
        <f aca="false">IF(AND(AE77=1,I77&gt;0),I77+ROW()/1000000000,"")</f>
        <v/>
      </c>
      <c r="AM77" s="39" t="n">
        <f aca="false">IF(AND(AF77=1,ISNUMBER(W77),Z77="Dedicated"),1,0)</f>
        <v>0</v>
      </c>
      <c r="AN77" s="39" t="n">
        <f aca="false">SUM($AM$2:AM77)</f>
        <v>22</v>
      </c>
      <c r="AO77" s="39" t="n">
        <f aca="false">IF(AND(AF77=1,ISNUMBER(W77),Z77&lt;&gt;"Dedicated"),1,0)</f>
        <v>1</v>
      </c>
      <c r="AP77" s="39" t="n">
        <f aca="false">SUM($AO$2:AO77)</f>
        <v>47</v>
      </c>
      <c r="AQ77" s="39" t="n">
        <f aca="false">IF(AND(AF77=1,AG77=1),1,0)</f>
        <v>1</v>
      </c>
      <c r="AR77" s="39" t="n">
        <f aca="false">SUM($AQ$2:AQ77)</f>
        <v>75</v>
      </c>
      <c r="AS77" s="45" t="n">
        <f aca="false">IF(AQ77=1,G77,0)</f>
        <v>155.8</v>
      </c>
      <c r="AT77" s="45" t="n">
        <f aca="false">IF(AQ77=1,K77,0)</f>
        <v>5</v>
      </c>
      <c r="AU77" s="37" t="str">
        <f aca="false">TRIM(IF(Raw!N77="","weight missing; ","")&amp;IF(Raw!K77="","storage missing; ","")&amp;IF(ISNUMBER(FIND(" و ",Raw!K77)),"dual storage - SSD part used; ","")&amp;IF(ISNUMBER(SEARCH("TB",Raw!K77)),"storage written as TB; ","")&amp;IF(Raw!I77="","cpu missing; ","")&amp;IF(Raw!M77="","gpu missing; ","")&amp;IF(Raw!J77="","ram missing; ","")&amp;IF(Raw!L77="","screen missing; ",""))</f>
        <v/>
      </c>
    </row>
    <row r="78" customFormat="false" ht="15" hidden="false" customHeight="false" outlineLevel="0" collapsed="false">
      <c r="A78" s="39" t="n">
        <f aca="false">Raw!A78</f>
        <v>587920</v>
      </c>
      <c r="B78" s="37" t="str">
        <f aca="false">Raw!B78</f>
        <v>لپ تاپ 15.6 اینچی ایسوس مدل ExpertBook B1503CVA i3 1315U 8GB 256GB</v>
      </c>
      <c r="C78" s="37" t="str">
        <f aca="false">LOWER(TRIM(Raw!C78))</f>
        <v>asus</v>
      </c>
      <c r="D78" s="37" t="str">
        <f aca="false">IFERROR(INDEX(Params!$B$5:$B$13,MATCH(C78,Params!$A$5:$A$13,0)),PROPER(C78))</f>
        <v>ASUS</v>
      </c>
      <c r="E78" s="37" t="str">
        <f aca="false">IF(Raw!F78,"Available","Out of stock")</f>
        <v>Available</v>
      </c>
      <c r="F78" s="43" t="n">
        <f aca="false">IF(Raw!D78="","",Raw!D78)</f>
        <v>147200000</v>
      </c>
      <c r="G78" s="40" t="n">
        <f aca="false">IF(ISNUMBER(F78),F78/1000000,"")</f>
        <v>147.2</v>
      </c>
      <c r="H78" s="43" t="str">
        <f aca="false">IF(Raw!E78="","",Raw!E78)</f>
        <v/>
      </c>
      <c r="I78" s="42" t="n">
        <f aca="false">IF(AND(ISNUMBER(H78),ISNUMBER(F78)),IF(H78&gt;F78,(H78-F78)/H78,0),0)</f>
        <v>0</v>
      </c>
      <c r="J78" s="39" t="n">
        <f aca="false">IF(I78&gt;0,1,0)</f>
        <v>0</v>
      </c>
      <c r="K78" s="45" t="n">
        <f aca="false">Raw!G78</f>
        <v>5</v>
      </c>
      <c r="L78" s="39" t="n">
        <f aca="false">Raw!H78</f>
        <v>1</v>
      </c>
      <c r="M78" s="41" t="n">
        <f aca="false">IF(L78&gt;0,(L78*K78+p_m*p_c)/(L78+p_m),"")</f>
        <v>4.52272727272727</v>
      </c>
      <c r="N78" s="37" t="str">
        <f aca="false">IF(Raw!I78="","",TRIM(Raw!I78))</f>
        <v>Core i3 1315U</v>
      </c>
      <c r="O78" s="37" t="str">
        <f aca="false">IF(N78="","Unknown",IF(LEFT(N78,5)="Apple","Apple",IF(LEFT(N78,5)="Ryzen","AMD","Intel")))</f>
        <v>Intel</v>
      </c>
      <c r="P78" s="37" t="str">
        <f aca="false">IF(N78="","Unknown",IF(LEFT(N78,5)="Apple","Apple Silicon",IF(LEFT(N78,8)="Ryzen AI","Ryzen AI",TRIM(LEFT(N78,7)))))</f>
        <v>Core i3</v>
      </c>
      <c r="Q78" s="39" t="n">
        <f aca="false">IFERROR(VALUE(LEFT(Raw!J78,FIND(" ",Raw!J78)-1)),"")</f>
        <v>8</v>
      </c>
      <c r="R78" s="37" t="str">
        <f aca="false">IF(NOT(ISNUMBER(Q78)),"Unknown",IF(Q78&lt;=8,"≤ 8 GB",IF(Q78&lt;=16,"12–16 GB","20 GB +")))</f>
        <v>≤ 8 GB</v>
      </c>
      <c r="S78" s="37" t="str">
        <f aca="false">IF(Raw!K78="","",IF(ISNUMBER(FIND(" و ",Raw!K78)),TRIM(MID(Raw!K78,FIND(" و ",Raw!K78)+3,100)),TRIM(Raw!K78)))</f>
        <v>256 گیگابایت</v>
      </c>
      <c r="T78" s="43" t="n">
        <f aca="false">IF(S78="","",IFERROR(IFERROR(VALUE(LEFT(S78,FIND(" ",S78)-1)),VALUE(LEFT(S78,LEN(S78)-2)))*IF(OR(ISNUMBER(SEARCH("ترابایت",S78)),ISNUMBER(SEARCH("TB",S78))),1024,1),""))</f>
        <v>256</v>
      </c>
      <c r="U78" s="37" t="str">
        <f aca="false">IF(NOT(ISNUMBER(T78)),"Unknown",IF(T78&lt;=256,"≤ 256 GB",IF(T78&lt;=512,"512 GB","1 TB +")))</f>
        <v>≤ 256 GB</v>
      </c>
      <c r="V78" s="45" t="n">
        <f aca="false">IFERROR(VALUE(SUBSTITUTE(LEFT(Raw!L78,FIND(" ",Raw!L78)-1),".",MID(1/2,2,1))),"")</f>
        <v>15.6</v>
      </c>
      <c r="W78" s="41" t="n">
        <f aca="false">IFERROR(VALUE(SUBSTITUTE(LEFT(Raw!N78,FIND(" ",Raw!N78)-1),".",MID(1/2,2,1))),"")</f>
        <v>1.63</v>
      </c>
      <c r="X78" s="37" t="str">
        <f aca="false">IF(Raw!M78="","",TRIM(Raw!M78))</f>
        <v>intel Intel Iris Xe</v>
      </c>
      <c r="Y78" s="37" t="str">
        <f aca="false">IF(X78="","Unknown",IF(ISNUMBER(SEARCH("nvidia",X78)),"NVIDIA",IF(ISNUMBER(SEARCH("amd",X78)),"AMD",IF(ISNUMBER(SEARCH("apple",X78)),"Apple",IF(ISNUMBER(SEARCH("intel",X78)),"Intel","Other")))))</f>
        <v>Intel</v>
      </c>
      <c r="Z78" s="37" t="str">
        <f aca="false">IF(X78="","Unknown",IF(ISNUMBER(SEARCH("RTX",X78))+ISNUMBER(SEARCH("GTX",X78))+ISNUMBER(SEARCH("nvidia",X78))+ISNUMBER(SEARCH("Radeon RX",X78))&gt;0,"Dedicated","Integrated"))</f>
        <v>Integrated</v>
      </c>
      <c r="AA78" s="37" t="str">
        <f aca="false">IF(ISNUMBER(SEARCH("RTX",X78)),TRIM(MID(X78,SEARCH("RTX",X78),8)),IF(X78="","Unknown",IF(Z78="Dedicated","Dedicated (model n/a)","Integrated")))</f>
        <v>Integrated</v>
      </c>
      <c r="AB78" s="37" t="str">
        <f aca="false">IF(ISNUMBER(G78),INDEX(Params!$E$5:$E$9,MATCH(G78,Params!$D$5:$D$9,1)),"Unknown")</f>
        <v>100–200 M</v>
      </c>
      <c r="AC78" s="45" t="n">
        <f aca="false">IF(AND(ISNUMBER(G78),ISNUMBER(Q78)),IF(Q78&gt;0,G78/Q78,""),"")</f>
        <v>18.4</v>
      </c>
      <c r="AD78" s="39" t="n">
        <f aca="false">IF(OR(p_excl=0,ISNUMBER(SEARCH("لپ",B78))),1,0)</f>
        <v>1</v>
      </c>
      <c r="AE78" s="39" t="n">
        <f aca="false">IF(AND(AD78=1,OR(fBrand="All",D78=fBrand),OR(fCPU="All",O78=fCPU),OR(fGPU="All",Z78=fGPU),OR(fTier="All",AB78=fTier),OR(fRAM="All",R78=fRAM)),1,0)</f>
        <v>1</v>
      </c>
      <c r="AF78" s="39" t="n">
        <f aca="false">IF(AND(AE78=1,ISNUMBER(G78)),1,0)</f>
        <v>1</v>
      </c>
      <c r="AG78" s="39" t="n">
        <f aca="false">IF(AND(AE78=1,L78&gt;0),1,0)</f>
        <v>1</v>
      </c>
      <c r="AH78" s="40" t="n">
        <f aca="false">IF(AF78=1,G78,"")</f>
        <v>147.2</v>
      </c>
      <c r="AI78" s="39" t="str">
        <f aca="false">IF(COUNTIF($D$2:D78,D78)=1,MAX($AI$1:AI77)+1,"")</f>
        <v/>
      </c>
      <c r="AJ78" s="39" t="str">
        <f aca="false">IF(COUNTIF($P$2:P78,P78)=1,MAX($AJ$1:AJ77)+1,"")</f>
        <v/>
      </c>
      <c r="AK78" s="47" t="n">
        <f aca="false">IF(AG78=1,M78+ROW()/1000000000,"")</f>
        <v>4.52272735072727</v>
      </c>
      <c r="AL78" s="47" t="str">
        <f aca="false">IF(AND(AE78=1,I78&gt;0),I78+ROW()/1000000000,"")</f>
        <v/>
      </c>
      <c r="AM78" s="39" t="n">
        <f aca="false">IF(AND(AF78=1,ISNUMBER(W78),Z78="Dedicated"),1,0)</f>
        <v>0</v>
      </c>
      <c r="AN78" s="39" t="n">
        <f aca="false">SUM($AM$2:AM78)</f>
        <v>22</v>
      </c>
      <c r="AO78" s="39" t="n">
        <f aca="false">IF(AND(AF78=1,ISNUMBER(W78),Z78&lt;&gt;"Dedicated"),1,0)</f>
        <v>1</v>
      </c>
      <c r="AP78" s="39" t="n">
        <f aca="false">SUM($AO$2:AO78)</f>
        <v>48</v>
      </c>
      <c r="AQ78" s="39" t="n">
        <f aca="false">IF(AND(AF78=1,AG78=1),1,0)</f>
        <v>1</v>
      </c>
      <c r="AR78" s="39" t="n">
        <f aca="false">SUM($AQ$2:AQ78)</f>
        <v>76</v>
      </c>
      <c r="AS78" s="45" t="n">
        <f aca="false">IF(AQ78=1,G78,0)</f>
        <v>147.2</v>
      </c>
      <c r="AT78" s="45" t="n">
        <f aca="false">IF(AQ78=1,K78,0)</f>
        <v>5</v>
      </c>
      <c r="AU78" s="37" t="str">
        <f aca="false">TRIM(IF(Raw!N78="","weight missing; ","")&amp;IF(Raw!K78="","storage missing; ","")&amp;IF(ISNUMBER(FIND(" و ",Raw!K78)),"dual storage - SSD part used; ","")&amp;IF(ISNUMBER(SEARCH("TB",Raw!K78)),"storage written as TB; ","")&amp;IF(Raw!I78="","cpu missing; ","")&amp;IF(Raw!M78="","gpu missing; ","")&amp;IF(Raw!J78="","ram missing; ","")&amp;IF(Raw!L78="","screen missing; ",""))</f>
        <v/>
      </c>
    </row>
    <row r="79" customFormat="false" ht="15" hidden="false" customHeight="false" outlineLevel="0" collapsed="false">
      <c r="A79" s="39" t="n">
        <f aca="false">Raw!A79</f>
        <v>584505</v>
      </c>
      <c r="B79" s="37" t="str">
        <f aca="false">Raw!B79</f>
        <v>لپ تاپ اچ پی 16 اینچی مدل OmniBook X Flip 14 fm0013dx Ultra 5 226V 16GB 512GB</v>
      </c>
      <c r="C79" s="37" t="str">
        <f aca="false">LOWER(TRIM(Raw!C79))</f>
        <v>hp</v>
      </c>
      <c r="D79" s="37" t="str">
        <f aca="false">IFERROR(INDEX(Params!$B$5:$B$13,MATCH(C79,Params!$A$5:$A$13,0)),PROPER(C79))</f>
        <v>HP</v>
      </c>
      <c r="E79" s="37" t="str">
        <f aca="false">IF(Raw!F79,"Available","Out of stock")</f>
        <v>Available</v>
      </c>
      <c r="F79" s="43" t="n">
        <f aca="false">IF(Raw!D79="","",Raw!D79)</f>
        <v>275000000</v>
      </c>
      <c r="G79" s="40" t="n">
        <f aca="false">IF(ISNUMBER(F79),F79/1000000,"")</f>
        <v>275</v>
      </c>
      <c r="H79" s="43" t="str">
        <f aca="false">IF(Raw!E79="","",Raw!E79)</f>
        <v/>
      </c>
      <c r="I79" s="42" t="n">
        <f aca="false">IF(AND(ISNUMBER(H79),ISNUMBER(F79)),IF(H79&gt;F79,(H79-F79)/H79,0),0)</f>
        <v>0</v>
      </c>
      <c r="J79" s="39" t="n">
        <f aca="false">IF(I79&gt;0,1,0)</f>
        <v>0</v>
      </c>
      <c r="K79" s="45" t="n">
        <f aca="false">Raw!G79</f>
        <v>5</v>
      </c>
      <c r="L79" s="39" t="n">
        <f aca="false">Raw!H79</f>
        <v>1</v>
      </c>
      <c r="M79" s="41" t="n">
        <f aca="false">IF(L79&gt;0,(L79*K79+p_m*p_c)/(L79+p_m),"")</f>
        <v>4.52272727272727</v>
      </c>
      <c r="N79" s="37" t="str">
        <f aca="false">IF(Raw!I79="","",TRIM(Raw!I79))</f>
        <v>Ultra 5 226v</v>
      </c>
      <c r="O79" s="37" t="str">
        <f aca="false">IF(N79="","Unknown",IF(LEFT(N79,5)="Apple","Apple",IF(LEFT(N79,5)="Ryzen","AMD","Intel")))</f>
        <v>Intel</v>
      </c>
      <c r="P79" s="37" t="str">
        <f aca="false">IF(N79="","Unknown",IF(LEFT(N79,5)="Apple","Apple Silicon",IF(LEFT(N79,8)="Ryzen AI","Ryzen AI",TRIM(LEFT(N79,7)))))</f>
        <v>Ultra 5</v>
      </c>
      <c r="Q79" s="39" t="n">
        <f aca="false">IFERROR(VALUE(LEFT(Raw!J79,FIND(" ",Raw!J79)-1)),"")</f>
        <v>16</v>
      </c>
      <c r="R79" s="37" t="str">
        <f aca="false">IF(NOT(ISNUMBER(Q79)),"Unknown",IF(Q79&lt;=8,"≤ 8 GB",IF(Q79&lt;=16,"12–16 GB","20 GB +")))</f>
        <v>12–16 GB</v>
      </c>
      <c r="S79" s="37" t="str">
        <f aca="false">IF(Raw!K79="","",IF(ISNUMBER(FIND(" و ",Raw!K79)),TRIM(MID(Raw!K79,FIND(" و ",Raw!K79)+3,100)),TRIM(Raw!K79)))</f>
        <v>512 گیگابایت</v>
      </c>
      <c r="T79" s="43" t="n">
        <f aca="false">IF(S79="","",IFERROR(IFERROR(VALUE(LEFT(S79,FIND(" ",S79)-1)),VALUE(LEFT(S79,LEN(S79)-2)))*IF(OR(ISNUMBER(SEARCH("ترابایت",S79)),ISNUMBER(SEARCH("TB",S79))),1024,1),""))</f>
        <v>512</v>
      </c>
      <c r="U79" s="37" t="str">
        <f aca="false">IF(NOT(ISNUMBER(T79)),"Unknown",IF(T79&lt;=256,"≤ 256 GB",IF(T79&lt;=512,"512 GB","1 TB +")))</f>
        <v>512 GB</v>
      </c>
      <c r="V79" s="45" t="n">
        <f aca="false">IFERROR(VALUE(SUBSTITUTE(LEFT(Raw!L79,FIND(" ",Raw!L79)-1),".",MID(1/2,2,1))),"")</f>
        <v>16</v>
      </c>
      <c r="W79" s="41" t="n">
        <f aca="false">IFERROR(VALUE(SUBSTITUTE(LEFT(Raw!N79,FIND(" ",Raw!N79)-1),".",MID(1/2,2,1))),"")</f>
        <v>1.39</v>
      </c>
      <c r="X79" s="37" t="str">
        <f aca="false">IF(Raw!M79="","",TRIM(Raw!M79))</f>
        <v>Intel Arc Graphics</v>
      </c>
      <c r="Y79" s="37" t="str">
        <f aca="false">IF(X79="","Unknown",IF(ISNUMBER(SEARCH("nvidia",X79)),"NVIDIA",IF(ISNUMBER(SEARCH("amd",X79)),"AMD",IF(ISNUMBER(SEARCH("apple",X79)),"Apple",IF(ISNUMBER(SEARCH("intel",X79)),"Intel","Other")))))</f>
        <v>Intel</v>
      </c>
      <c r="Z79" s="37" t="str">
        <f aca="false">IF(X79="","Unknown",IF(ISNUMBER(SEARCH("RTX",X79))+ISNUMBER(SEARCH("GTX",X79))+ISNUMBER(SEARCH("nvidia",X79))+ISNUMBER(SEARCH("Radeon RX",X79))&gt;0,"Dedicated","Integrated"))</f>
        <v>Integrated</v>
      </c>
      <c r="AA79" s="37" t="str">
        <f aca="false">IF(ISNUMBER(SEARCH("RTX",X79)),TRIM(MID(X79,SEARCH("RTX",X79),8)),IF(X79="","Unknown",IF(Z79="Dedicated","Dedicated (model n/a)","Integrated")))</f>
        <v>Integrated</v>
      </c>
      <c r="AB79" s="37" t="str">
        <f aca="false">IF(ISNUMBER(G79),INDEX(Params!$E$5:$E$9,MATCH(G79,Params!$D$5:$D$9,1)),"Unknown")</f>
        <v>200–300 M</v>
      </c>
      <c r="AC79" s="45" t="n">
        <f aca="false">IF(AND(ISNUMBER(G79),ISNUMBER(Q79)),IF(Q79&gt;0,G79/Q79,""),"")</f>
        <v>17.1875</v>
      </c>
      <c r="AD79" s="39" t="n">
        <f aca="false">IF(OR(p_excl=0,ISNUMBER(SEARCH("لپ",B79))),1,0)</f>
        <v>1</v>
      </c>
      <c r="AE79" s="39" t="n">
        <f aca="false">IF(AND(AD79=1,OR(fBrand="All",D79=fBrand),OR(fCPU="All",O79=fCPU),OR(fGPU="All",Z79=fGPU),OR(fTier="All",AB79=fTier),OR(fRAM="All",R79=fRAM)),1,0)</f>
        <v>1</v>
      </c>
      <c r="AF79" s="39" t="n">
        <f aca="false">IF(AND(AE79=1,ISNUMBER(G79)),1,0)</f>
        <v>1</v>
      </c>
      <c r="AG79" s="39" t="n">
        <f aca="false">IF(AND(AE79=1,L79&gt;0),1,0)</f>
        <v>1</v>
      </c>
      <c r="AH79" s="40" t="n">
        <f aca="false">IF(AF79=1,G79,"")</f>
        <v>275</v>
      </c>
      <c r="AI79" s="39" t="str">
        <f aca="false">IF(COUNTIF($D$2:D79,D79)=1,MAX($AI$1:AI78)+1,"")</f>
        <v/>
      </c>
      <c r="AJ79" s="39" t="n">
        <f aca="false">IF(COUNTIF($P$2:P79,P79)=1,MAX($AJ$1:AJ78)+1,"")</f>
        <v>13</v>
      </c>
      <c r="AK79" s="47" t="n">
        <f aca="false">IF(AG79=1,M79+ROW()/1000000000,"")</f>
        <v>4.52272735172727</v>
      </c>
      <c r="AL79" s="47" t="str">
        <f aca="false">IF(AND(AE79=1,I79&gt;0),I79+ROW()/1000000000,"")</f>
        <v/>
      </c>
      <c r="AM79" s="39" t="n">
        <f aca="false">IF(AND(AF79=1,ISNUMBER(W79),Z79="Dedicated"),1,0)</f>
        <v>0</v>
      </c>
      <c r="AN79" s="39" t="n">
        <f aca="false">SUM($AM$2:AM79)</f>
        <v>22</v>
      </c>
      <c r="AO79" s="39" t="n">
        <f aca="false">IF(AND(AF79=1,ISNUMBER(W79),Z79&lt;&gt;"Dedicated"),1,0)</f>
        <v>1</v>
      </c>
      <c r="AP79" s="39" t="n">
        <f aca="false">SUM($AO$2:AO79)</f>
        <v>49</v>
      </c>
      <c r="AQ79" s="39" t="n">
        <f aca="false">IF(AND(AF79=1,AG79=1),1,0)</f>
        <v>1</v>
      </c>
      <c r="AR79" s="39" t="n">
        <f aca="false">SUM($AQ$2:AQ79)</f>
        <v>77</v>
      </c>
      <c r="AS79" s="45" t="n">
        <f aca="false">IF(AQ79=1,G79,0)</f>
        <v>275</v>
      </c>
      <c r="AT79" s="45" t="n">
        <f aca="false">IF(AQ79=1,K79,0)</f>
        <v>5</v>
      </c>
      <c r="AU79" s="37" t="str">
        <f aca="false">TRIM(IF(Raw!N79="","weight missing; ","")&amp;IF(Raw!K79="","storage missing; ","")&amp;IF(ISNUMBER(FIND(" و ",Raw!K79)),"dual storage - SSD part used; ","")&amp;IF(ISNUMBER(SEARCH("TB",Raw!K79)),"storage written as TB; ","")&amp;IF(Raw!I79="","cpu missing; ","")&amp;IF(Raw!M79="","gpu missing; ","")&amp;IF(Raw!J79="","ram missing; ","")&amp;IF(Raw!L79="","screen missing; ",""))</f>
        <v/>
      </c>
    </row>
    <row r="80" customFormat="false" ht="15" hidden="false" customHeight="false" outlineLevel="0" collapsed="false">
      <c r="A80" s="39" t="n">
        <f aca="false">Raw!A80</f>
        <v>520981</v>
      </c>
      <c r="B80" s="37" t="str">
        <f aca="false">Raw!B80</f>
        <v>لپ تاپ ایسوس 16 اینچی مدل TUF Gaming FA607NUQ R7 170 16GB 1TB 6G RTX 4050</v>
      </c>
      <c r="C80" s="37" t="str">
        <f aca="false">LOWER(TRIM(Raw!C80))</f>
        <v>asus</v>
      </c>
      <c r="D80" s="37" t="str">
        <f aca="false">IFERROR(INDEX(Params!$B$5:$B$13,MATCH(C80,Params!$A$5:$A$13,0)),PROPER(C80))</f>
        <v>ASUS</v>
      </c>
      <c r="E80" s="37" t="str">
        <f aca="false">IF(Raw!F80,"Available","Out of stock")</f>
        <v>Available</v>
      </c>
      <c r="F80" s="43" t="n">
        <f aca="false">IF(Raw!D80="","",Raw!D80)</f>
        <v>315000000</v>
      </c>
      <c r="G80" s="40" t="n">
        <f aca="false">IF(ISNUMBER(F80),F80/1000000,"")</f>
        <v>315</v>
      </c>
      <c r="H80" s="43" t="str">
        <f aca="false">IF(Raw!E80="","",Raw!E80)</f>
        <v/>
      </c>
      <c r="I80" s="42" t="n">
        <f aca="false">IF(AND(ISNUMBER(H80),ISNUMBER(F80)),IF(H80&gt;F80,(H80-F80)/H80,0),0)</f>
        <v>0</v>
      </c>
      <c r="J80" s="39" t="n">
        <f aca="false">IF(I80&gt;0,1,0)</f>
        <v>0</v>
      </c>
      <c r="K80" s="45" t="n">
        <f aca="false">Raw!G80</f>
        <v>5</v>
      </c>
      <c r="L80" s="39" t="n">
        <f aca="false">Raw!H80</f>
        <v>1</v>
      </c>
      <c r="M80" s="41" t="n">
        <f aca="false">IF(L80&gt;0,(L80*K80+p_m*p_c)/(L80+p_m),"")</f>
        <v>4.52272727272727</v>
      </c>
      <c r="N80" s="37" t="str">
        <f aca="false">IF(Raw!I80="","",TRIM(Raw!I80))</f>
        <v>Ryzen 7 170</v>
      </c>
      <c r="O80" s="37" t="str">
        <f aca="false">IF(N80="","Unknown",IF(LEFT(N80,5)="Apple","Apple",IF(LEFT(N80,5)="Ryzen","AMD","Intel")))</f>
        <v>AMD</v>
      </c>
      <c r="P80" s="37" t="str">
        <f aca="false">IF(N80="","Unknown",IF(LEFT(N80,5)="Apple","Apple Silicon",IF(LEFT(N80,8)="Ryzen AI","Ryzen AI",TRIM(LEFT(N80,7)))))</f>
        <v>Ryzen 7</v>
      </c>
      <c r="Q80" s="39" t="n">
        <f aca="false">IFERROR(VALUE(LEFT(Raw!J80,FIND(" ",Raw!J80)-1)),"")</f>
        <v>16</v>
      </c>
      <c r="R80" s="37" t="str">
        <f aca="false">IF(NOT(ISNUMBER(Q80)),"Unknown",IF(Q80&lt;=8,"≤ 8 GB",IF(Q80&lt;=16,"12–16 GB","20 GB +")))</f>
        <v>12–16 GB</v>
      </c>
      <c r="S80" s="37" t="str">
        <f aca="false">IF(Raw!K80="","",IF(ISNUMBER(FIND(" و ",Raw!K80)),TRIM(MID(Raw!K80,FIND(" و ",Raw!K80)+3,100)),TRIM(Raw!K80)))</f>
        <v>1 ترابایت</v>
      </c>
      <c r="T80" s="43" t="n">
        <f aca="false">IF(S80="","",IFERROR(IFERROR(VALUE(LEFT(S80,FIND(" ",S80)-1)),VALUE(LEFT(S80,LEN(S80)-2)))*IF(OR(ISNUMBER(SEARCH("ترابایت",S80)),ISNUMBER(SEARCH("TB",S80))),1024,1),""))</f>
        <v>1024</v>
      </c>
      <c r="U80" s="37" t="str">
        <f aca="false">IF(NOT(ISNUMBER(T80)),"Unknown",IF(T80&lt;=256,"≤ 256 GB",IF(T80&lt;=512,"512 GB","1 TB +")))</f>
        <v>1 TB +</v>
      </c>
      <c r="V80" s="45" t="n">
        <f aca="false">IFERROR(VALUE(SUBSTITUTE(LEFT(Raw!L80,FIND(" ",Raw!L80)-1),".",MID(1/2,2,1))),"")</f>
        <v>16</v>
      </c>
      <c r="W80" s="41" t="n">
        <f aca="false">IFERROR(VALUE(SUBSTITUTE(LEFT(Raw!N80,FIND(" ",Raw!N80)-1),".",MID(1/2,2,1))),"")</f>
        <v>2.3</v>
      </c>
      <c r="X80" s="37" t="str">
        <f aca="false">IF(Raw!M80="","",TRIM(Raw!M80))</f>
        <v>NVIDIA GeForce RTX 4050</v>
      </c>
      <c r="Y80" s="37" t="str">
        <f aca="false">IF(X80="","Unknown",IF(ISNUMBER(SEARCH("nvidia",X80)),"NVIDIA",IF(ISNUMBER(SEARCH("amd",X80)),"AMD",IF(ISNUMBER(SEARCH("apple",X80)),"Apple",IF(ISNUMBER(SEARCH("intel",X80)),"Intel","Other")))))</f>
        <v>NVIDIA</v>
      </c>
      <c r="Z80" s="37" t="str">
        <f aca="false">IF(X80="","Unknown",IF(ISNUMBER(SEARCH("RTX",X80))+ISNUMBER(SEARCH("GTX",X80))+ISNUMBER(SEARCH("nvidia",X80))+ISNUMBER(SEARCH("Radeon RX",X80))&gt;0,"Dedicated","Integrated"))</f>
        <v>Dedicated</v>
      </c>
      <c r="AA80" s="37" t="str">
        <f aca="false">IF(ISNUMBER(SEARCH("RTX",X80)),TRIM(MID(X80,SEARCH("RTX",X80),8)),IF(X80="","Unknown",IF(Z80="Dedicated","Dedicated (model n/a)","Integrated")))</f>
        <v>RTX 4050</v>
      </c>
      <c r="AB80" s="37" t="str">
        <f aca="false">IF(ISNUMBER(G80),INDEX(Params!$E$5:$E$9,MATCH(G80,Params!$D$5:$D$9,1)),"Unknown")</f>
        <v>300–400 M</v>
      </c>
      <c r="AC80" s="45" t="n">
        <f aca="false">IF(AND(ISNUMBER(G80),ISNUMBER(Q80)),IF(Q80&gt;0,G80/Q80,""),"")</f>
        <v>19.6875</v>
      </c>
      <c r="AD80" s="39" t="n">
        <f aca="false">IF(OR(p_excl=0,ISNUMBER(SEARCH("لپ",B80))),1,0)</f>
        <v>1</v>
      </c>
      <c r="AE80" s="39" t="n">
        <f aca="false">IF(AND(AD80=1,OR(fBrand="All",D80=fBrand),OR(fCPU="All",O80=fCPU),OR(fGPU="All",Z80=fGPU),OR(fTier="All",AB80=fTier),OR(fRAM="All",R80=fRAM)),1,0)</f>
        <v>1</v>
      </c>
      <c r="AF80" s="39" t="n">
        <f aca="false">IF(AND(AE80=1,ISNUMBER(G80)),1,0)</f>
        <v>1</v>
      </c>
      <c r="AG80" s="39" t="n">
        <f aca="false">IF(AND(AE80=1,L80&gt;0),1,0)</f>
        <v>1</v>
      </c>
      <c r="AH80" s="40" t="n">
        <f aca="false">IF(AF80=1,G80,"")</f>
        <v>315</v>
      </c>
      <c r="AI80" s="39" t="str">
        <f aca="false">IF(COUNTIF($D$2:D80,D80)=1,MAX($AI$1:AI79)+1,"")</f>
        <v/>
      </c>
      <c r="AJ80" s="39" t="str">
        <f aca="false">IF(COUNTIF($P$2:P80,P80)=1,MAX($AJ$1:AJ79)+1,"")</f>
        <v/>
      </c>
      <c r="AK80" s="47" t="n">
        <f aca="false">IF(AG80=1,M80+ROW()/1000000000,"")</f>
        <v>4.52272735272727</v>
      </c>
      <c r="AL80" s="47" t="str">
        <f aca="false">IF(AND(AE80=1,I80&gt;0),I80+ROW()/1000000000,"")</f>
        <v/>
      </c>
      <c r="AM80" s="39" t="n">
        <f aca="false">IF(AND(AF80=1,ISNUMBER(W80),Z80="Dedicated"),1,0)</f>
        <v>1</v>
      </c>
      <c r="AN80" s="39" t="n">
        <f aca="false">SUM($AM$2:AM80)</f>
        <v>23</v>
      </c>
      <c r="AO80" s="39" t="n">
        <f aca="false">IF(AND(AF80=1,ISNUMBER(W80),Z80&lt;&gt;"Dedicated"),1,0)</f>
        <v>0</v>
      </c>
      <c r="AP80" s="39" t="n">
        <f aca="false">SUM($AO$2:AO80)</f>
        <v>49</v>
      </c>
      <c r="AQ80" s="39" t="n">
        <f aca="false">IF(AND(AF80=1,AG80=1),1,0)</f>
        <v>1</v>
      </c>
      <c r="AR80" s="39" t="n">
        <f aca="false">SUM($AQ$2:AQ80)</f>
        <v>78</v>
      </c>
      <c r="AS80" s="45" t="n">
        <f aca="false">IF(AQ80=1,G80,0)</f>
        <v>315</v>
      </c>
      <c r="AT80" s="45" t="n">
        <f aca="false">IF(AQ80=1,K80,0)</f>
        <v>5</v>
      </c>
      <c r="AU80" s="37" t="str">
        <f aca="false">TRIM(IF(Raw!N80="","weight missing; ","")&amp;IF(Raw!K80="","storage missing; ","")&amp;IF(ISNUMBER(FIND(" و ",Raw!K80)),"dual storage - SSD part used; ","")&amp;IF(ISNUMBER(SEARCH("TB",Raw!K80)),"storage written as TB; ","")&amp;IF(Raw!I80="","cpu missing; ","")&amp;IF(Raw!M80="","gpu missing; ","")&amp;IF(Raw!J80="","ram missing; ","")&amp;IF(Raw!L80="","screen missing; ",""))</f>
        <v/>
      </c>
    </row>
    <row r="81" customFormat="false" ht="15" hidden="false" customHeight="false" outlineLevel="0" collapsed="false">
      <c r="A81" s="39" t="n">
        <f aca="false">Raw!A81</f>
        <v>518248</v>
      </c>
      <c r="B81" s="37" t="str">
        <f aca="false">Raw!B81</f>
        <v>لپ تاپ ایسوس 15.6 اینچی مدل Vivobook X1504VA Core 7 150U 16GB 1TB IPS</v>
      </c>
      <c r="C81" s="37" t="str">
        <f aca="false">LOWER(TRIM(Raw!C81))</f>
        <v>asus</v>
      </c>
      <c r="D81" s="37" t="str">
        <f aca="false">IFERROR(INDEX(Params!$B$5:$B$13,MATCH(C81,Params!$A$5:$A$13,0)),PROPER(C81))</f>
        <v>ASUS</v>
      </c>
      <c r="E81" s="37" t="str">
        <f aca="false">IF(Raw!F81,"Available","Out of stock")</f>
        <v>Available</v>
      </c>
      <c r="F81" s="43" t="n">
        <f aca="false">IF(Raw!D81="","",Raw!D81)</f>
        <v>222000000</v>
      </c>
      <c r="G81" s="40" t="n">
        <f aca="false">IF(ISNUMBER(F81),F81/1000000,"")</f>
        <v>222</v>
      </c>
      <c r="H81" s="43" t="str">
        <f aca="false">IF(Raw!E81="","",Raw!E81)</f>
        <v/>
      </c>
      <c r="I81" s="42" t="n">
        <f aca="false">IF(AND(ISNUMBER(H81),ISNUMBER(F81)),IF(H81&gt;F81,(H81-F81)/H81,0),0)</f>
        <v>0</v>
      </c>
      <c r="J81" s="39" t="n">
        <f aca="false">IF(I81&gt;0,1,0)</f>
        <v>0</v>
      </c>
      <c r="K81" s="45" t="n">
        <f aca="false">Raw!G81</f>
        <v>5</v>
      </c>
      <c r="L81" s="39" t="n">
        <f aca="false">Raw!H81</f>
        <v>1</v>
      </c>
      <c r="M81" s="41" t="n">
        <f aca="false">IF(L81&gt;0,(L81*K81+p_m*p_c)/(L81+p_m),"")</f>
        <v>4.52272727272727</v>
      </c>
      <c r="N81" s="37" t="str">
        <f aca="false">IF(Raw!I81="","",TRIM(Raw!I81))</f>
        <v>Core 7 150U</v>
      </c>
      <c r="O81" s="37" t="str">
        <f aca="false">IF(N81="","Unknown",IF(LEFT(N81,5)="Apple","Apple",IF(LEFT(N81,5)="Ryzen","AMD","Intel")))</f>
        <v>Intel</v>
      </c>
      <c r="P81" s="37" t="str">
        <f aca="false">IF(N81="","Unknown",IF(LEFT(N81,5)="Apple","Apple Silicon",IF(LEFT(N81,8)="Ryzen AI","Ryzen AI",TRIM(LEFT(N81,7)))))</f>
        <v>Core 7</v>
      </c>
      <c r="Q81" s="39" t="n">
        <f aca="false">IFERROR(VALUE(LEFT(Raw!J81,FIND(" ",Raw!J81)-1)),"")</f>
        <v>16</v>
      </c>
      <c r="R81" s="37" t="str">
        <f aca="false">IF(NOT(ISNUMBER(Q81)),"Unknown",IF(Q81&lt;=8,"≤ 8 GB",IF(Q81&lt;=16,"12–16 GB","20 GB +")))</f>
        <v>12–16 GB</v>
      </c>
      <c r="S81" s="37" t="str">
        <f aca="false">IF(Raw!K81="","",IF(ISNUMBER(FIND(" و ",Raw!K81)),TRIM(MID(Raw!K81,FIND(" و ",Raw!K81)+3,100)),TRIM(Raw!K81)))</f>
        <v>1 ترابایت</v>
      </c>
      <c r="T81" s="43" t="n">
        <f aca="false">IF(S81="","",IFERROR(IFERROR(VALUE(LEFT(S81,FIND(" ",S81)-1)),VALUE(LEFT(S81,LEN(S81)-2)))*IF(OR(ISNUMBER(SEARCH("ترابایت",S81)),ISNUMBER(SEARCH("TB",S81))),1024,1),""))</f>
        <v>1024</v>
      </c>
      <c r="U81" s="37" t="str">
        <f aca="false">IF(NOT(ISNUMBER(T81)),"Unknown",IF(T81&lt;=256,"≤ 256 GB",IF(T81&lt;=512,"512 GB","1 TB +")))</f>
        <v>1 TB +</v>
      </c>
      <c r="V81" s="45" t="n">
        <f aca="false">IFERROR(VALUE(SUBSTITUTE(LEFT(Raw!L81,FIND(" ",Raw!L81)-1),".",MID(1/2,2,1))),"")</f>
        <v>15.6</v>
      </c>
      <c r="W81" s="41" t="n">
        <f aca="false">IFERROR(VALUE(SUBSTITUTE(LEFT(Raw!N81,FIND(" ",Raw!N81)-1),".",MID(1/2,2,1))),"")</f>
        <v>1.7</v>
      </c>
      <c r="X81" s="37" t="str">
        <f aca="false">IF(Raw!M81="","",TRIM(Raw!M81))</f>
        <v>Intel</v>
      </c>
      <c r="Y81" s="37" t="str">
        <f aca="false">IF(X81="","Unknown",IF(ISNUMBER(SEARCH("nvidia",X81)),"NVIDIA",IF(ISNUMBER(SEARCH("amd",X81)),"AMD",IF(ISNUMBER(SEARCH("apple",X81)),"Apple",IF(ISNUMBER(SEARCH("intel",X81)),"Intel","Other")))))</f>
        <v>Intel</v>
      </c>
      <c r="Z81" s="37" t="str">
        <f aca="false">IF(X81="","Unknown",IF(ISNUMBER(SEARCH("RTX",X81))+ISNUMBER(SEARCH("GTX",X81))+ISNUMBER(SEARCH("nvidia",X81))+ISNUMBER(SEARCH("Radeon RX",X81))&gt;0,"Dedicated","Integrated"))</f>
        <v>Integrated</v>
      </c>
      <c r="AA81" s="37" t="str">
        <f aca="false">IF(ISNUMBER(SEARCH("RTX",X81)),TRIM(MID(X81,SEARCH("RTX",X81),8)),IF(X81="","Unknown",IF(Z81="Dedicated","Dedicated (model n/a)","Integrated")))</f>
        <v>Integrated</v>
      </c>
      <c r="AB81" s="37" t="str">
        <f aca="false">IF(ISNUMBER(G81),INDEX(Params!$E$5:$E$9,MATCH(G81,Params!$D$5:$D$9,1)),"Unknown")</f>
        <v>200–300 M</v>
      </c>
      <c r="AC81" s="45" t="n">
        <f aca="false">IF(AND(ISNUMBER(G81),ISNUMBER(Q81)),IF(Q81&gt;0,G81/Q81,""),"")</f>
        <v>13.875</v>
      </c>
      <c r="AD81" s="39" t="n">
        <f aca="false">IF(OR(p_excl=0,ISNUMBER(SEARCH("لپ",B81))),1,0)</f>
        <v>1</v>
      </c>
      <c r="AE81" s="39" t="n">
        <f aca="false">IF(AND(AD81=1,OR(fBrand="All",D81=fBrand),OR(fCPU="All",O81=fCPU),OR(fGPU="All",Z81=fGPU),OR(fTier="All",AB81=fTier),OR(fRAM="All",R81=fRAM)),1,0)</f>
        <v>1</v>
      </c>
      <c r="AF81" s="39" t="n">
        <f aca="false">IF(AND(AE81=1,ISNUMBER(G81)),1,0)</f>
        <v>1</v>
      </c>
      <c r="AG81" s="39" t="n">
        <f aca="false">IF(AND(AE81=1,L81&gt;0),1,0)</f>
        <v>1</v>
      </c>
      <c r="AH81" s="40" t="n">
        <f aca="false">IF(AF81=1,G81,"")</f>
        <v>222</v>
      </c>
      <c r="AI81" s="39" t="str">
        <f aca="false">IF(COUNTIF($D$2:D81,D81)=1,MAX($AI$1:AI80)+1,"")</f>
        <v/>
      </c>
      <c r="AJ81" s="39" t="str">
        <f aca="false">IF(COUNTIF($P$2:P81,P81)=1,MAX($AJ$1:AJ80)+1,"")</f>
        <v/>
      </c>
      <c r="AK81" s="47" t="n">
        <f aca="false">IF(AG81=1,M81+ROW()/1000000000,"")</f>
        <v>4.52272735372727</v>
      </c>
      <c r="AL81" s="47" t="str">
        <f aca="false">IF(AND(AE81=1,I81&gt;0),I81+ROW()/1000000000,"")</f>
        <v/>
      </c>
      <c r="AM81" s="39" t="n">
        <f aca="false">IF(AND(AF81=1,ISNUMBER(W81),Z81="Dedicated"),1,0)</f>
        <v>0</v>
      </c>
      <c r="AN81" s="39" t="n">
        <f aca="false">SUM($AM$2:AM81)</f>
        <v>23</v>
      </c>
      <c r="AO81" s="39" t="n">
        <f aca="false">IF(AND(AF81=1,ISNUMBER(W81),Z81&lt;&gt;"Dedicated"),1,0)</f>
        <v>1</v>
      </c>
      <c r="AP81" s="39" t="n">
        <f aca="false">SUM($AO$2:AO81)</f>
        <v>50</v>
      </c>
      <c r="AQ81" s="39" t="n">
        <f aca="false">IF(AND(AF81=1,AG81=1),1,0)</f>
        <v>1</v>
      </c>
      <c r="AR81" s="39" t="n">
        <f aca="false">SUM($AQ$2:AQ81)</f>
        <v>79</v>
      </c>
      <c r="AS81" s="45" t="n">
        <f aca="false">IF(AQ81=1,G81,0)</f>
        <v>222</v>
      </c>
      <c r="AT81" s="45" t="n">
        <f aca="false">IF(AQ81=1,K81,0)</f>
        <v>5</v>
      </c>
      <c r="AU81" s="37" t="str">
        <f aca="false">TRIM(IF(Raw!N81="","weight missing; ","")&amp;IF(Raw!K81="","storage missing; ","")&amp;IF(ISNUMBER(FIND(" و ",Raw!K81)),"dual storage - SSD part used; ","")&amp;IF(ISNUMBER(SEARCH("TB",Raw!K81)),"storage written as TB; ","")&amp;IF(Raw!I81="","cpu missing; ","")&amp;IF(Raw!M81="","gpu missing; ","")&amp;IF(Raw!J81="","ram missing; ","")&amp;IF(Raw!L81="","screen missing; ",""))</f>
        <v/>
      </c>
    </row>
    <row r="82" customFormat="false" ht="15" hidden="false" customHeight="false" outlineLevel="0" collapsed="false">
      <c r="A82" s="39" t="n">
        <f aca="false">Raw!A82</f>
        <v>435939</v>
      </c>
      <c r="B82" s="37" t="str">
        <f aca="false">Raw!B82</f>
        <v>لپ تاپ ام اس آی مدل VenturePro 15 A2RWEG Core 7 240H 16GB 1TB RTX 5050</v>
      </c>
      <c r="C82" s="37" t="str">
        <f aca="false">LOWER(TRIM(Raw!C82))</f>
        <v>msi</v>
      </c>
      <c r="D82" s="37" t="str">
        <f aca="false">IFERROR(INDEX(Params!$B$5:$B$13,MATCH(C82,Params!$A$5:$A$13,0)),PROPER(C82))</f>
        <v>MSI</v>
      </c>
      <c r="E82" s="37" t="str">
        <f aca="false">IF(Raw!F82,"Available","Out of stock")</f>
        <v>Available</v>
      </c>
      <c r="F82" s="43" t="n">
        <f aca="false">IF(Raw!D82="","",Raw!D82)</f>
        <v>289000000</v>
      </c>
      <c r="G82" s="40" t="n">
        <f aca="false">IF(ISNUMBER(F82),F82/1000000,"")</f>
        <v>289</v>
      </c>
      <c r="H82" s="43" t="n">
        <f aca="false">IF(Raw!E82="","",Raw!E82)</f>
        <v>300000000</v>
      </c>
      <c r="I82" s="42" t="n">
        <f aca="false">IF(AND(ISNUMBER(H82),ISNUMBER(F82)),IF(H82&gt;F82,(H82-F82)/H82,0),0)</f>
        <v>0.0366666666666667</v>
      </c>
      <c r="J82" s="39" t="n">
        <f aca="false">IF(I82&gt;0,1,0)</f>
        <v>1</v>
      </c>
      <c r="K82" s="45" t="n">
        <f aca="false">Raw!G82</f>
        <v>5</v>
      </c>
      <c r="L82" s="39" t="n">
        <f aca="false">Raw!H82</f>
        <v>1</v>
      </c>
      <c r="M82" s="41" t="n">
        <f aca="false">IF(L82&gt;0,(L82*K82+p_m*p_c)/(L82+p_m),"")</f>
        <v>4.52272727272727</v>
      </c>
      <c r="N82" s="37" t="str">
        <f aca="false">IF(Raw!I82="","",TRIM(Raw!I82))</f>
        <v>Core 7 240H</v>
      </c>
      <c r="O82" s="37" t="str">
        <f aca="false">IF(N82="","Unknown",IF(LEFT(N82,5)="Apple","Apple",IF(LEFT(N82,5)="Ryzen","AMD","Intel")))</f>
        <v>Intel</v>
      </c>
      <c r="P82" s="37" t="str">
        <f aca="false">IF(N82="","Unknown",IF(LEFT(N82,5)="Apple","Apple Silicon",IF(LEFT(N82,8)="Ryzen AI","Ryzen AI",TRIM(LEFT(N82,7)))))</f>
        <v>Core 7</v>
      </c>
      <c r="Q82" s="39" t="n">
        <f aca="false">IFERROR(VALUE(LEFT(Raw!J82,FIND(" ",Raw!J82)-1)),"")</f>
        <v>16</v>
      </c>
      <c r="R82" s="37" t="str">
        <f aca="false">IF(NOT(ISNUMBER(Q82)),"Unknown",IF(Q82&lt;=8,"≤ 8 GB",IF(Q82&lt;=16,"12–16 GB","20 GB +")))</f>
        <v>12–16 GB</v>
      </c>
      <c r="S82" s="37" t="str">
        <f aca="false">IF(Raw!K82="","",IF(ISNUMBER(FIND(" و ",Raw!K82)),TRIM(MID(Raw!K82,FIND(" و ",Raw!K82)+3,100)),TRIM(Raw!K82)))</f>
        <v>1 ترابایت</v>
      </c>
      <c r="T82" s="43" t="n">
        <f aca="false">IF(S82="","",IFERROR(IFERROR(VALUE(LEFT(S82,FIND(" ",S82)-1)),VALUE(LEFT(S82,LEN(S82)-2)))*IF(OR(ISNUMBER(SEARCH("ترابایت",S82)),ISNUMBER(SEARCH("TB",S82))),1024,1),""))</f>
        <v>1024</v>
      </c>
      <c r="U82" s="37" t="str">
        <f aca="false">IF(NOT(ISNUMBER(T82)),"Unknown",IF(T82&lt;=256,"≤ 256 GB",IF(T82&lt;=512,"512 GB","1 TB +")))</f>
        <v>1 TB +</v>
      </c>
      <c r="V82" s="45" t="n">
        <f aca="false">IFERROR(VALUE(SUBSTITUTE(LEFT(Raw!L82,FIND(" ",Raw!L82)-1),".",MID(1/2,2,1))),"")</f>
        <v>15.6</v>
      </c>
      <c r="W82" s="41" t="n">
        <f aca="false">IFERROR(VALUE(SUBSTITUTE(LEFT(Raw!N82,FIND(" ",Raw!N82)-1),".",MID(1/2,2,1))),"")</f>
        <v>1.9</v>
      </c>
      <c r="X82" s="37" t="str">
        <f aca="false">IF(Raw!M82="","",TRIM(Raw!M82))</f>
        <v>NVIDIA GeForce RTX 5050</v>
      </c>
      <c r="Y82" s="37" t="str">
        <f aca="false">IF(X82="","Unknown",IF(ISNUMBER(SEARCH("nvidia",X82)),"NVIDIA",IF(ISNUMBER(SEARCH("amd",X82)),"AMD",IF(ISNUMBER(SEARCH("apple",X82)),"Apple",IF(ISNUMBER(SEARCH("intel",X82)),"Intel","Other")))))</f>
        <v>NVIDIA</v>
      </c>
      <c r="Z82" s="37" t="str">
        <f aca="false">IF(X82="","Unknown",IF(ISNUMBER(SEARCH("RTX",X82))+ISNUMBER(SEARCH("GTX",X82))+ISNUMBER(SEARCH("nvidia",X82))+ISNUMBER(SEARCH("Radeon RX",X82))&gt;0,"Dedicated","Integrated"))</f>
        <v>Dedicated</v>
      </c>
      <c r="AA82" s="37" t="str">
        <f aca="false">IF(ISNUMBER(SEARCH("RTX",X82)),TRIM(MID(X82,SEARCH("RTX",X82),8)),IF(X82="","Unknown",IF(Z82="Dedicated","Dedicated (model n/a)","Integrated")))</f>
        <v>RTX 5050</v>
      </c>
      <c r="AB82" s="37" t="str">
        <f aca="false">IF(ISNUMBER(G82),INDEX(Params!$E$5:$E$9,MATCH(G82,Params!$D$5:$D$9,1)),"Unknown")</f>
        <v>200–300 M</v>
      </c>
      <c r="AC82" s="45" t="n">
        <f aca="false">IF(AND(ISNUMBER(G82),ISNUMBER(Q82)),IF(Q82&gt;0,G82/Q82,""),"")</f>
        <v>18.0625</v>
      </c>
      <c r="AD82" s="39" t="n">
        <f aca="false">IF(OR(p_excl=0,ISNUMBER(SEARCH("لپ",B82))),1,0)</f>
        <v>1</v>
      </c>
      <c r="AE82" s="39" t="n">
        <f aca="false">IF(AND(AD82=1,OR(fBrand="All",D82=fBrand),OR(fCPU="All",O82=fCPU),OR(fGPU="All",Z82=fGPU),OR(fTier="All",AB82=fTier),OR(fRAM="All",R82=fRAM)),1,0)</f>
        <v>1</v>
      </c>
      <c r="AF82" s="39" t="n">
        <f aca="false">IF(AND(AE82=1,ISNUMBER(G82)),1,0)</f>
        <v>1</v>
      </c>
      <c r="AG82" s="39" t="n">
        <f aca="false">IF(AND(AE82=1,L82&gt;0),1,0)</f>
        <v>1</v>
      </c>
      <c r="AH82" s="40" t="n">
        <f aca="false">IF(AF82=1,G82,"")</f>
        <v>289</v>
      </c>
      <c r="AI82" s="39" t="str">
        <f aca="false">IF(COUNTIF($D$2:D82,D82)=1,MAX($AI$1:AI81)+1,"")</f>
        <v/>
      </c>
      <c r="AJ82" s="39" t="str">
        <f aca="false">IF(COUNTIF($P$2:P82,P82)=1,MAX($AJ$1:AJ81)+1,"")</f>
        <v/>
      </c>
      <c r="AK82" s="47" t="n">
        <f aca="false">IF(AG82=1,M82+ROW()/1000000000,"")</f>
        <v>4.52272735472727</v>
      </c>
      <c r="AL82" s="47" t="n">
        <f aca="false">IF(AND(AE82=1,I82&gt;0),I82+ROW()/1000000000,"")</f>
        <v>0.0366667486666667</v>
      </c>
      <c r="AM82" s="39" t="n">
        <f aca="false">IF(AND(AF82=1,ISNUMBER(W82),Z82="Dedicated"),1,0)</f>
        <v>1</v>
      </c>
      <c r="AN82" s="39" t="n">
        <f aca="false">SUM($AM$2:AM82)</f>
        <v>24</v>
      </c>
      <c r="AO82" s="39" t="n">
        <f aca="false">IF(AND(AF82=1,ISNUMBER(W82),Z82&lt;&gt;"Dedicated"),1,0)</f>
        <v>0</v>
      </c>
      <c r="AP82" s="39" t="n">
        <f aca="false">SUM($AO$2:AO82)</f>
        <v>50</v>
      </c>
      <c r="AQ82" s="39" t="n">
        <f aca="false">IF(AND(AF82=1,AG82=1),1,0)</f>
        <v>1</v>
      </c>
      <c r="AR82" s="39" t="n">
        <f aca="false">SUM($AQ$2:AQ82)</f>
        <v>80</v>
      </c>
      <c r="AS82" s="45" t="n">
        <f aca="false">IF(AQ82=1,G82,0)</f>
        <v>289</v>
      </c>
      <c r="AT82" s="45" t="n">
        <f aca="false">IF(AQ82=1,K82,0)</f>
        <v>5</v>
      </c>
      <c r="AU82" s="37" t="str">
        <f aca="false">TRIM(IF(Raw!N82="","weight missing; ","")&amp;IF(Raw!K82="","storage missing; ","")&amp;IF(ISNUMBER(FIND(" و ",Raw!K82)),"dual storage - SSD part used; ","")&amp;IF(ISNUMBER(SEARCH("TB",Raw!K82)),"storage written as TB; ","")&amp;IF(Raw!I82="","cpu missing; ","")&amp;IF(Raw!M82="","gpu missing; ","")&amp;IF(Raw!J82="","ram missing; ","")&amp;IF(Raw!L82="","screen missing; ",""))</f>
        <v/>
      </c>
    </row>
    <row r="83" customFormat="false" ht="15" hidden="false" customHeight="false" outlineLevel="0" collapsed="false">
      <c r="A83" s="39" t="n">
        <f aca="false">Raw!A83</f>
        <v>390689</v>
      </c>
      <c r="B83" s="37" t="str">
        <f aca="false">Raw!B83</f>
        <v>لپ تاپ دل 15.6 اینچی مدل DC15250 V Core 3 100U 16GB 512GB</v>
      </c>
      <c r="C83" s="37" t="str">
        <f aca="false">LOWER(TRIM(Raw!C83))</f>
        <v>dell</v>
      </c>
      <c r="D83" s="37" t="str">
        <f aca="false">IFERROR(INDEX(Params!$B$5:$B$13,MATCH(C83,Params!$A$5:$A$13,0)),PROPER(C83))</f>
        <v>Dell</v>
      </c>
      <c r="E83" s="37" t="str">
        <f aca="false">IF(Raw!F83,"Available","Out of stock")</f>
        <v>Available</v>
      </c>
      <c r="F83" s="43" t="n">
        <f aca="false">IF(Raw!D83="","",Raw!D83)</f>
        <v>162200000</v>
      </c>
      <c r="G83" s="40" t="n">
        <f aca="false">IF(ISNUMBER(F83),F83/1000000,"")</f>
        <v>162.2</v>
      </c>
      <c r="H83" s="43" t="str">
        <f aca="false">IF(Raw!E83="","",Raw!E83)</f>
        <v/>
      </c>
      <c r="I83" s="42" t="n">
        <f aca="false">IF(AND(ISNUMBER(H83),ISNUMBER(F83)),IF(H83&gt;F83,(H83-F83)/H83,0),0)</f>
        <v>0</v>
      </c>
      <c r="J83" s="39" t="n">
        <f aca="false">IF(I83&gt;0,1,0)</f>
        <v>0</v>
      </c>
      <c r="K83" s="45" t="n">
        <f aca="false">Raw!G83</f>
        <v>5</v>
      </c>
      <c r="L83" s="39" t="n">
        <f aca="false">Raw!H83</f>
        <v>1</v>
      </c>
      <c r="M83" s="41" t="n">
        <f aca="false">IF(L83&gt;0,(L83*K83+p_m*p_c)/(L83+p_m),"")</f>
        <v>4.52272727272727</v>
      </c>
      <c r="N83" s="37" t="str">
        <f aca="false">IF(Raw!I83="","",TRIM(Raw!I83))</f>
        <v>Core 3 100U</v>
      </c>
      <c r="O83" s="37" t="str">
        <f aca="false">IF(N83="","Unknown",IF(LEFT(N83,5)="Apple","Apple",IF(LEFT(N83,5)="Ryzen","AMD","Intel")))</f>
        <v>Intel</v>
      </c>
      <c r="P83" s="37" t="str">
        <f aca="false">IF(N83="","Unknown",IF(LEFT(N83,5)="Apple","Apple Silicon",IF(LEFT(N83,8)="Ryzen AI","Ryzen AI",TRIM(LEFT(N83,7)))))</f>
        <v>Core 3</v>
      </c>
      <c r="Q83" s="39" t="n">
        <f aca="false">IFERROR(VALUE(LEFT(Raw!J83,FIND(" ",Raw!J83)-1)),"")</f>
        <v>16</v>
      </c>
      <c r="R83" s="37" t="str">
        <f aca="false">IF(NOT(ISNUMBER(Q83)),"Unknown",IF(Q83&lt;=8,"≤ 8 GB",IF(Q83&lt;=16,"12–16 GB","20 GB +")))</f>
        <v>12–16 GB</v>
      </c>
      <c r="S83" s="37" t="str">
        <f aca="false">IF(Raw!K83="","",IF(ISNUMBER(FIND(" و ",Raw!K83)),TRIM(MID(Raw!K83,FIND(" و ",Raw!K83)+3,100)),TRIM(Raw!K83)))</f>
        <v>512 گیگابایت</v>
      </c>
      <c r="T83" s="43" t="n">
        <f aca="false">IF(S83="","",IFERROR(IFERROR(VALUE(LEFT(S83,FIND(" ",S83)-1)),VALUE(LEFT(S83,LEN(S83)-2)))*IF(OR(ISNUMBER(SEARCH("ترابایت",S83)),ISNUMBER(SEARCH("TB",S83))),1024,1),""))</f>
        <v>512</v>
      </c>
      <c r="U83" s="37" t="str">
        <f aca="false">IF(NOT(ISNUMBER(T83)),"Unknown",IF(T83&lt;=256,"≤ 256 GB",IF(T83&lt;=512,"512 GB","1 TB +")))</f>
        <v>512 GB</v>
      </c>
      <c r="V83" s="45" t="n">
        <f aca="false">IFERROR(VALUE(SUBSTITUTE(LEFT(Raw!L83,FIND(" ",Raw!L83)-1),".",MID(1/2,2,1))),"")</f>
        <v>15.6</v>
      </c>
      <c r="W83" s="41" t="n">
        <f aca="false">IFERROR(VALUE(SUBSTITUTE(LEFT(Raw!N83,FIND(" ",Raw!N83)-1),".",MID(1/2,2,1))),"")</f>
        <v>1.9</v>
      </c>
      <c r="X83" s="37" t="str">
        <f aca="false">IF(Raw!M83="","",TRIM(Raw!M83))</f>
        <v>Intel UHD Graphics</v>
      </c>
      <c r="Y83" s="37" t="str">
        <f aca="false">IF(X83="","Unknown",IF(ISNUMBER(SEARCH("nvidia",X83)),"NVIDIA",IF(ISNUMBER(SEARCH("amd",X83)),"AMD",IF(ISNUMBER(SEARCH("apple",X83)),"Apple",IF(ISNUMBER(SEARCH("intel",X83)),"Intel","Other")))))</f>
        <v>Intel</v>
      </c>
      <c r="Z83" s="37" t="str">
        <f aca="false">IF(X83="","Unknown",IF(ISNUMBER(SEARCH("RTX",X83))+ISNUMBER(SEARCH("GTX",X83))+ISNUMBER(SEARCH("nvidia",X83))+ISNUMBER(SEARCH("Radeon RX",X83))&gt;0,"Dedicated","Integrated"))</f>
        <v>Integrated</v>
      </c>
      <c r="AA83" s="37" t="str">
        <f aca="false">IF(ISNUMBER(SEARCH("RTX",X83)),TRIM(MID(X83,SEARCH("RTX",X83),8)),IF(X83="","Unknown",IF(Z83="Dedicated","Dedicated (model n/a)","Integrated")))</f>
        <v>Integrated</v>
      </c>
      <c r="AB83" s="37" t="str">
        <f aca="false">IF(ISNUMBER(G83),INDEX(Params!$E$5:$E$9,MATCH(G83,Params!$D$5:$D$9,1)),"Unknown")</f>
        <v>100–200 M</v>
      </c>
      <c r="AC83" s="45" t="n">
        <f aca="false">IF(AND(ISNUMBER(G83),ISNUMBER(Q83)),IF(Q83&gt;0,G83/Q83,""),"")</f>
        <v>10.1375</v>
      </c>
      <c r="AD83" s="39" t="n">
        <f aca="false">IF(OR(p_excl=0,ISNUMBER(SEARCH("لپ",B83))),1,0)</f>
        <v>1</v>
      </c>
      <c r="AE83" s="39" t="n">
        <f aca="false">IF(AND(AD83=1,OR(fBrand="All",D83=fBrand),OR(fCPU="All",O83=fCPU),OR(fGPU="All",Z83=fGPU),OR(fTier="All",AB83=fTier),OR(fRAM="All",R83=fRAM)),1,0)</f>
        <v>1</v>
      </c>
      <c r="AF83" s="39" t="n">
        <f aca="false">IF(AND(AE83=1,ISNUMBER(G83)),1,0)</f>
        <v>1</v>
      </c>
      <c r="AG83" s="39" t="n">
        <f aca="false">IF(AND(AE83=1,L83&gt;0),1,0)</f>
        <v>1</v>
      </c>
      <c r="AH83" s="40" t="n">
        <f aca="false">IF(AF83=1,G83,"")</f>
        <v>162.2</v>
      </c>
      <c r="AI83" s="39" t="str">
        <f aca="false">IF(COUNTIF($D$2:D83,D83)=1,MAX($AI$1:AI82)+1,"")</f>
        <v/>
      </c>
      <c r="AJ83" s="39" t="n">
        <f aca="false">IF(COUNTIF($P$2:P83,P83)=1,MAX($AJ$1:AJ82)+1,"")</f>
        <v>14</v>
      </c>
      <c r="AK83" s="47" t="n">
        <f aca="false">IF(AG83=1,M83+ROW()/1000000000,"")</f>
        <v>4.52272735572727</v>
      </c>
      <c r="AL83" s="47" t="str">
        <f aca="false">IF(AND(AE83=1,I83&gt;0),I83+ROW()/1000000000,"")</f>
        <v/>
      </c>
      <c r="AM83" s="39" t="n">
        <f aca="false">IF(AND(AF83=1,ISNUMBER(W83),Z83="Dedicated"),1,0)</f>
        <v>0</v>
      </c>
      <c r="AN83" s="39" t="n">
        <f aca="false">SUM($AM$2:AM83)</f>
        <v>24</v>
      </c>
      <c r="AO83" s="39" t="n">
        <f aca="false">IF(AND(AF83=1,ISNUMBER(W83),Z83&lt;&gt;"Dedicated"),1,0)</f>
        <v>1</v>
      </c>
      <c r="AP83" s="39" t="n">
        <f aca="false">SUM($AO$2:AO83)</f>
        <v>51</v>
      </c>
      <c r="AQ83" s="39" t="n">
        <f aca="false">IF(AND(AF83=1,AG83=1),1,0)</f>
        <v>1</v>
      </c>
      <c r="AR83" s="39" t="n">
        <f aca="false">SUM($AQ$2:AQ83)</f>
        <v>81</v>
      </c>
      <c r="AS83" s="45" t="n">
        <f aca="false">IF(AQ83=1,G83,0)</f>
        <v>162.2</v>
      </c>
      <c r="AT83" s="45" t="n">
        <f aca="false">IF(AQ83=1,K83,0)</f>
        <v>5</v>
      </c>
      <c r="AU83" s="37" t="str">
        <f aca="false">TRIM(IF(Raw!N83="","weight missing; ","")&amp;IF(Raw!K83="","storage missing; ","")&amp;IF(ISNUMBER(FIND(" و ",Raw!K83)),"dual storage - SSD part used; ","")&amp;IF(ISNUMBER(SEARCH("TB",Raw!K83)),"storage written as TB; ","")&amp;IF(Raw!I83="","cpu missing; ","")&amp;IF(Raw!M83="","gpu missing; ","")&amp;IF(Raw!J83="","ram missing; ","")&amp;IF(Raw!L83="","screen missing; ",""))</f>
        <v/>
      </c>
    </row>
    <row r="84" customFormat="false" ht="15" hidden="false" customHeight="false" outlineLevel="0" collapsed="false">
      <c r="A84" s="39" t="n">
        <f aca="false">Raw!A84</f>
        <v>382472</v>
      </c>
      <c r="B84" s="37" t="str">
        <f aca="false">Raw!B84</f>
        <v>لپ تاپ ایسوس 15.6 اینچی مدل Vivobook X1504VA Core 7 ۱۵۰U 16GB 1TB</v>
      </c>
      <c r="C84" s="37" t="str">
        <f aca="false">LOWER(TRIM(Raw!C84))</f>
        <v>asus</v>
      </c>
      <c r="D84" s="37" t="str">
        <f aca="false">IFERROR(INDEX(Params!$B$5:$B$13,MATCH(C84,Params!$A$5:$A$13,0)),PROPER(C84))</f>
        <v>ASUS</v>
      </c>
      <c r="E84" s="37" t="str">
        <f aca="false">IF(Raw!F84,"Available","Out of stock")</f>
        <v>Available</v>
      </c>
      <c r="F84" s="43" t="n">
        <f aca="false">IF(Raw!D84="","",Raw!D84)</f>
        <v>215500000</v>
      </c>
      <c r="G84" s="40" t="n">
        <f aca="false">IF(ISNUMBER(F84),F84/1000000,"")</f>
        <v>215.5</v>
      </c>
      <c r="H84" s="43" t="str">
        <f aca="false">IF(Raw!E84="","",Raw!E84)</f>
        <v/>
      </c>
      <c r="I84" s="42" t="n">
        <f aca="false">IF(AND(ISNUMBER(H84),ISNUMBER(F84)),IF(H84&gt;F84,(H84-F84)/H84,0),0)</f>
        <v>0</v>
      </c>
      <c r="J84" s="39" t="n">
        <f aca="false">IF(I84&gt;0,1,0)</f>
        <v>0</v>
      </c>
      <c r="K84" s="45" t="n">
        <f aca="false">Raw!G84</f>
        <v>4</v>
      </c>
      <c r="L84" s="39" t="n">
        <f aca="false">Raw!H84</f>
        <v>1</v>
      </c>
      <c r="M84" s="41" t="n">
        <f aca="false">IF(L84&gt;0,(L84*K84+p_m*p_c)/(L84+p_m),"")</f>
        <v>4.43181818181818</v>
      </c>
      <c r="N84" s="37" t="str">
        <f aca="false">IF(Raw!I84="","",TRIM(Raw!I84))</f>
        <v>Core 7 150U</v>
      </c>
      <c r="O84" s="37" t="str">
        <f aca="false">IF(N84="","Unknown",IF(LEFT(N84,5)="Apple","Apple",IF(LEFT(N84,5)="Ryzen","AMD","Intel")))</f>
        <v>Intel</v>
      </c>
      <c r="P84" s="37" t="str">
        <f aca="false">IF(N84="","Unknown",IF(LEFT(N84,5)="Apple","Apple Silicon",IF(LEFT(N84,8)="Ryzen AI","Ryzen AI",TRIM(LEFT(N84,7)))))</f>
        <v>Core 7</v>
      </c>
      <c r="Q84" s="39" t="n">
        <f aca="false">IFERROR(VALUE(LEFT(Raw!J84,FIND(" ",Raw!J84)-1)),"")</f>
        <v>16</v>
      </c>
      <c r="R84" s="37" t="str">
        <f aca="false">IF(NOT(ISNUMBER(Q84)),"Unknown",IF(Q84&lt;=8,"≤ 8 GB",IF(Q84&lt;=16,"12–16 GB","20 GB +")))</f>
        <v>12–16 GB</v>
      </c>
      <c r="S84" s="37" t="str">
        <f aca="false">IF(Raw!K84="","",IF(ISNUMBER(FIND(" و ",Raw!K84)),TRIM(MID(Raw!K84,FIND(" و ",Raw!K84)+3,100)),TRIM(Raw!K84)))</f>
        <v>1 ترابایت</v>
      </c>
      <c r="T84" s="43" t="n">
        <f aca="false">IF(S84="","",IFERROR(IFERROR(VALUE(LEFT(S84,FIND(" ",S84)-1)),VALUE(LEFT(S84,LEN(S84)-2)))*IF(OR(ISNUMBER(SEARCH("ترابایت",S84)),ISNUMBER(SEARCH("TB",S84))),1024,1),""))</f>
        <v>1024</v>
      </c>
      <c r="U84" s="37" t="str">
        <f aca="false">IF(NOT(ISNUMBER(T84)),"Unknown",IF(T84&lt;=256,"≤ 256 GB",IF(T84&lt;=512,"512 GB","1 TB +")))</f>
        <v>1 TB +</v>
      </c>
      <c r="V84" s="45" t="n">
        <f aca="false">IFERROR(VALUE(SUBSTITUTE(LEFT(Raw!L84,FIND(" ",Raw!L84)-1),".",MID(1/2,2,1))),"")</f>
        <v>15.6</v>
      </c>
      <c r="W84" s="41" t="n">
        <f aca="false">IFERROR(VALUE(SUBSTITUTE(LEFT(Raw!N84,FIND(" ",Raw!N84)-1),".",MID(1/2,2,1))),"")</f>
        <v>1.7</v>
      </c>
      <c r="X84" s="37" t="str">
        <f aca="false">IF(Raw!M84="","",TRIM(Raw!M84))</f>
        <v>Intel</v>
      </c>
      <c r="Y84" s="37" t="str">
        <f aca="false">IF(X84="","Unknown",IF(ISNUMBER(SEARCH("nvidia",X84)),"NVIDIA",IF(ISNUMBER(SEARCH("amd",X84)),"AMD",IF(ISNUMBER(SEARCH("apple",X84)),"Apple",IF(ISNUMBER(SEARCH("intel",X84)),"Intel","Other")))))</f>
        <v>Intel</v>
      </c>
      <c r="Z84" s="37" t="str">
        <f aca="false">IF(X84="","Unknown",IF(ISNUMBER(SEARCH("RTX",X84))+ISNUMBER(SEARCH("GTX",X84))+ISNUMBER(SEARCH("nvidia",X84))+ISNUMBER(SEARCH("Radeon RX",X84))&gt;0,"Dedicated","Integrated"))</f>
        <v>Integrated</v>
      </c>
      <c r="AA84" s="37" t="str">
        <f aca="false">IF(ISNUMBER(SEARCH("RTX",X84)),TRIM(MID(X84,SEARCH("RTX",X84),8)),IF(X84="","Unknown",IF(Z84="Dedicated","Dedicated (model n/a)","Integrated")))</f>
        <v>Integrated</v>
      </c>
      <c r="AB84" s="37" t="str">
        <f aca="false">IF(ISNUMBER(G84),INDEX(Params!$E$5:$E$9,MATCH(G84,Params!$D$5:$D$9,1)),"Unknown")</f>
        <v>200–300 M</v>
      </c>
      <c r="AC84" s="45" t="n">
        <f aca="false">IF(AND(ISNUMBER(G84),ISNUMBER(Q84)),IF(Q84&gt;0,G84/Q84,""),"")</f>
        <v>13.46875</v>
      </c>
      <c r="AD84" s="39" t="n">
        <f aca="false">IF(OR(p_excl=0,ISNUMBER(SEARCH("لپ",B84))),1,0)</f>
        <v>1</v>
      </c>
      <c r="AE84" s="39" t="n">
        <f aca="false">IF(AND(AD84=1,OR(fBrand="All",D84=fBrand),OR(fCPU="All",O84=fCPU),OR(fGPU="All",Z84=fGPU),OR(fTier="All",AB84=fTier),OR(fRAM="All",R84=fRAM)),1,0)</f>
        <v>1</v>
      </c>
      <c r="AF84" s="39" t="n">
        <f aca="false">IF(AND(AE84=1,ISNUMBER(G84)),1,0)</f>
        <v>1</v>
      </c>
      <c r="AG84" s="39" t="n">
        <f aca="false">IF(AND(AE84=1,L84&gt;0),1,0)</f>
        <v>1</v>
      </c>
      <c r="AH84" s="40" t="n">
        <f aca="false">IF(AF84=1,G84,"")</f>
        <v>215.5</v>
      </c>
      <c r="AI84" s="39" t="str">
        <f aca="false">IF(COUNTIF($D$2:D84,D84)=1,MAX($AI$1:AI83)+1,"")</f>
        <v/>
      </c>
      <c r="AJ84" s="39" t="str">
        <f aca="false">IF(COUNTIF($P$2:P84,P84)=1,MAX($AJ$1:AJ83)+1,"")</f>
        <v/>
      </c>
      <c r="AK84" s="47" t="n">
        <f aca="false">IF(AG84=1,M84+ROW()/1000000000,"")</f>
        <v>4.43181826581818</v>
      </c>
      <c r="AL84" s="47" t="str">
        <f aca="false">IF(AND(AE84=1,I84&gt;0),I84+ROW()/1000000000,"")</f>
        <v/>
      </c>
      <c r="AM84" s="39" t="n">
        <f aca="false">IF(AND(AF84=1,ISNUMBER(W84),Z84="Dedicated"),1,0)</f>
        <v>0</v>
      </c>
      <c r="AN84" s="39" t="n">
        <f aca="false">SUM($AM$2:AM84)</f>
        <v>24</v>
      </c>
      <c r="AO84" s="39" t="n">
        <f aca="false">IF(AND(AF84=1,ISNUMBER(W84),Z84&lt;&gt;"Dedicated"),1,0)</f>
        <v>1</v>
      </c>
      <c r="AP84" s="39" t="n">
        <f aca="false">SUM($AO$2:AO84)</f>
        <v>52</v>
      </c>
      <c r="AQ84" s="39" t="n">
        <f aca="false">IF(AND(AF84=1,AG84=1),1,0)</f>
        <v>1</v>
      </c>
      <c r="AR84" s="39" t="n">
        <f aca="false">SUM($AQ$2:AQ84)</f>
        <v>82</v>
      </c>
      <c r="AS84" s="45" t="n">
        <f aca="false">IF(AQ84=1,G84,0)</f>
        <v>215.5</v>
      </c>
      <c r="AT84" s="45" t="n">
        <f aca="false">IF(AQ84=1,K84,0)</f>
        <v>4</v>
      </c>
      <c r="AU84" s="37" t="str">
        <f aca="false">TRIM(IF(Raw!N84="","weight missing; ","")&amp;IF(Raw!K84="","storage missing; ","")&amp;IF(ISNUMBER(FIND(" و ",Raw!K84)),"dual storage - SSD part used; ","")&amp;IF(ISNUMBER(SEARCH("TB",Raw!K84)),"storage written as TB; ","")&amp;IF(Raw!I84="","cpu missing; ","")&amp;IF(Raw!M84="","gpu missing; ","")&amp;IF(Raw!J84="","ram missing; ","")&amp;IF(Raw!L84="","screen missing; ",""))</f>
        <v/>
      </c>
    </row>
    <row r="85" customFormat="false" ht="15" hidden="false" customHeight="false" outlineLevel="0" collapsed="false">
      <c r="A85" s="39" t="n">
        <f aca="false">Raw!A85</f>
        <v>379843</v>
      </c>
      <c r="B85" s="37" t="str">
        <f aca="false">Raw!B85</f>
        <v>لپ تاپ ایسوس 15.6 اینچی مدل Vivobook 15 F1504VA Core5 120U 16GB 512GB Intel</v>
      </c>
      <c r="C85" s="37" t="str">
        <f aca="false">LOWER(TRIM(Raw!C85))</f>
        <v>asus</v>
      </c>
      <c r="D85" s="37" t="str">
        <f aca="false">IFERROR(INDEX(Params!$B$5:$B$13,MATCH(C85,Params!$A$5:$A$13,0)),PROPER(C85))</f>
        <v>ASUS</v>
      </c>
      <c r="E85" s="37" t="str">
        <f aca="false">IF(Raw!F85,"Available","Out of stock")</f>
        <v>Available</v>
      </c>
      <c r="F85" s="43" t="n">
        <f aca="false">IF(Raw!D85="","",Raw!D85)</f>
        <v>187000000</v>
      </c>
      <c r="G85" s="40" t="n">
        <f aca="false">IF(ISNUMBER(F85),F85/1000000,"")</f>
        <v>187</v>
      </c>
      <c r="H85" s="43" t="str">
        <f aca="false">IF(Raw!E85="","",Raw!E85)</f>
        <v/>
      </c>
      <c r="I85" s="42" t="n">
        <f aca="false">IF(AND(ISNUMBER(H85),ISNUMBER(F85)),IF(H85&gt;F85,(H85-F85)/H85,0),0)</f>
        <v>0</v>
      </c>
      <c r="J85" s="39" t="n">
        <f aca="false">IF(I85&gt;0,1,0)</f>
        <v>0</v>
      </c>
      <c r="K85" s="45" t="n">
        <f aca="false">Raw!G85</f>
        <v>5</v>
      </c>
      <c r="L85" s="39" t="n">
        <f aca="false">Raw!H85</f>
        <v>1</v>
      </c>
      <c r="M85" s="41" t="n">
        <f aca="false">IF(L85&gt;0,(L85*K85+p_m*p_c)/(L85+p_m),"")</f>
        <v>4.52272727272727</v>
      </c>
      <c r="N85" s="37" t="str">
        <f aca="false">IF(Raw!I85="","",TRIM(Raw!I85))</f>
        <v>Core 5 120U</v>
      </c>
      <c r="O85" s="37" t="str">
        <f aca="false">IF(N85="","Unknown",IF(LEFT(N85,5)="Apple","Apple",IF(LEFT(N85,5)="Ryzen","AMD","Intel")))</f>
        <v>Intel</v>
      </c>
      <c r="P85" s="37" t="str">
        <f aca="false">IF(N85="","Unknown",IF(LEFT(N85,5)="Apple","Apple Silicon",IF(LEFT(N85,8)="Ryzen AI","Ryzen AI",TRIM(LEFT(N85,7)))))</f>
        <v>Core 5</v>
      </c>
      <c r="Q85" s="39" t="n">
        <f aca="false">IFERROR(VALUE(LEFT(Raw!J85,FIND(" ",Raw!J85)-1)),"")</f>
        <v>16</v>
      </c>
      <c r="R85" s="37" t="str">
        <f aca="false">IF(NOT(ISNUMBER(Q85)),"Unknown",IF(Q85&lt;=8,"≤ 8 GB",IF(Q85&lt;=16,"12–16 GB","20 GB +")))</f>
        <v>12–16 GB</v>
      </c>
      <c r="S85" s="37" t="str">
        <f aca="false">IF(Raw!K85="","",IF(ISNUMBER(FIND(" و ",Raw!K85)),TRIM(MID(Raw!K85,FIND(" و ",Raw!K85)+3,100)),TRIM(Raw!K85)))</f>
        <v>512 گیگابایت</v>
      </c>
      <c r="T85" s="43" t="n">
        <f aca="false">IF(S85="","",IFERROR(IFERROR(VALUE(LEFT(S85,FIND(" ",S85)-1)),VALUE(LEFT(S85,LEN(S85)-2)))*IF(OR(ISNUMBER(SEARCH("ترابایت",S85)),ISNUMBER(SEARCH("TB",S85))),1024,1),""))</f>
        <v>512</v>
      </c>
      <c r="U85" s="37" t="str">
        <f aca="false">IF(NOT(ISNUMBER(T85)),"Unknown",IF(T85&lt;=256,"≤ 256 GB",IF(T85&lt;=512,"512 GB","1 TB +")))</f>
        <v>512 GB</v>
      </c>
      <c r="V85" s="45" t="n">
        <f aca="false">IFERROR(VALUE(SUBSTITUTE(LEFT(Raw!L85,FIND(" ",Raw!L85)-1),".",MID(1/2,2,1))),"")</f>
        <v>15.6</v>
      </c>
      <c r="W85" s="41" t="n">
        <f aca="false">IFERROR(VALUE(SUBSTITUTE(LEFT(Raw!N85,FIND(" ",Raw!N85)-1),".",MID(1/2,2,1))),"")</f>
        <v>1.7</v>
      </c>
      <c r="X85" s="37" t="str">
        <f aca="false">IF(Raw!M85="","",TRIM(Raw!M85))</f>
        <v>Intel Intel Iris Xe</v>
      </c>
      <c r="Y85" s="37" t="str">
        <f aca="false">IF(X85="","Unknown",IF(ISNUMBER(SEARCH("nvidia",X85)),"NVIDIA",IF(ISNUMBER(SEARCH("amd",X85)),"AMD",IF(ISNUMBER(SEARCH("apple",X85)),"Apple",IF(ISNUMBER(SEARCH("intel",X85)),"Intel","Other")))))</f>
        <v>Intel</v>
      </c>
      <c r="Z85" s="37" t="str">
        <f aca="false">IF(X85="","Unknown",IF(ISNUMBER(SEARCH("RTX",X85))+ISNUMBER(SEARCH("GTX",X85))+ISNUMBER(SEARCH("nvidia",X85))+ISNUMBER(SEARCH("Radeon RX",X85))&gt;0,"Dedicated","Integrated"))</f>
        <v>Integrated</v>
      </c>
      <c r="AA85" s="37" t="str">
        <f aca="false">IF(ISNUMBER(SEARCH("RTX",X85)),TRIM(MID(X85,SEARCH("RTX",X85),8)),IF(X85="","Unknown",IF(Z85="Dedicated","Dedicated (model n/a)","Integrated")))</f>
        <v>Integrated</v>
      </c>
      <c r="AB85" s="37" t="str">
        <f aca="false">IF(ISNUMBER(G85),INDEX(Params!$E$5:$E$9,MATCH(G85,Params!$D$5:$D$9,1)),"Unknown")</f>
        <v>100–200 M</v>
      </c>
      <c r="AC85" s="45" t="n">
        <f aca="false">IF(AND(ISNUMBER(G85),ISNUMBER(Q85)),IF(Q85&gt;0,G85/Q85,""),"")</f>
        <v>11.6875</v>
      </c>
      <c r="AD85" s="39" t="n">
        <f aca="false">IF(OR(p_excl=0,ISNUMBER(SEARCH("لپ",B85))),1,0)</f>
        <v>1</v>
      </c>
      <c r="AE85" s="39" t="n">
        <f aca="false">IF(AND(AD85=1,OR(fBrand="All",D85=fBrand),OR(fCPU="All",O85=fCPU),OR(fGPU="All",Z85=fGPU),OR(fTier="All",AB85=fTier),OR(fRAM="All",R85=fRAM)),1,0)</f>
        <v>1</v>
      </c>
      <c r="AF85" s="39" t="n">
        <f aca="false">IF(AND(AE85=1,ISNUMBER(G85)),1,0)</f>
        <v>1</v>
      </c>
      <c r="AG85" s="39" t="n">
        <f aca="false">IF(AND(AE85=1,L85&gt;0),1,0)</f>
        <v>1</v>
      </c>
      <c r="AH85" s="40" t="n">
        <f aca="false">IF(AF85=1,G85,"")</f>
        <v>187</v>
      </c>
      <c r="AI85" s="39" t="str">
        <f aca="false">IF(COUNTIF($D$2:D85,D85)=1,MAX($AI$1:AI84)+1,"")</f>
        <v/>
      </c>
      <c r="AJ85" s="39" t="str">
        <f aca="false">IF(COUNTIF($P$2:P85,P85)=1,MAX($AJ$1:AJ84)+1,"")</f>
        <v/>
      </c>
      <c r="AK85" s="47" t="n">
        <f aca="false">IF(AG85=1,M85+ROW()/1000000000,"")</f>
        <v>4.52272735772727</v>
      </c>
      <c r="AL85" s="47" t="str">
        <f aca="false">IF(AND(AE85=1,I85&gt;0),I85+ROW()/1000000000,"")</f>
        <v/>
      </c>
      <c r="AM85" s="39" t="n">
        <f aca="false">IF(AND(AF85=1,ISNUMBER(W85),Z85="Dedicated"),1,0)</f>
        <v>0</v>
      </c>
      <c r="AN85" s="39" t="n">
        <f aca="false">SUM($AM$2:AM85)</f>
        <v>24</v>
      </c>
      <c r="AO85" s="39" t="n">
        <f aca="false">IF(AND(AF85=1,ISNUMBER(W85),Z85&lt;&gt;"Dedicated"),1,0)</f>
        <v>1</v>
      </c>
      <c r="AP85" s="39" t="n">
        <f aca="false">SUM($AO$2:AO85)</f>
        <v>53</v>
      </c>
      <c r="AQ85" s="39" t="n">
        <f aca="false">IF(AND(AF85=1,AG85=1),1,0)</f>
        <v>1</v>
      </c>
      <c r="AR85" s="39" t="n">
        <f aca="false">SUM($AQ$2:AQ85)</f>
        <v>83</v>
      </c>
      <c r="AS85" s="45" t="n">
        <f aca="false">IF(AQ85=1,G85,0)</f>
        <v>187</v>
      </c>
      <c r="AT85" s="45" t="n">
        <f aca="false">IF(AQ85=1,K85,0)</f>
        <v>5</v>
      </c>
      <c r="AU85" s="37" t="str">
        <f aca="false">TRIM(IF(Raw!N85="","weight missing; ","")&amp;IF(Raw!K85="","storage missing; ","")&amp;IF(ISNUMBER(FIND(" و ",Raw!K85)),"dual storage - SSD part used; ","")&amp;IF(ISNUMBER(SEARCH("TB",Raw!K85)),"storage written as TB; ","")&amp;IF(Raw!I85="","cpu missing; ","")&amp;IF(Raw!M85="","gpu missing; ","")&amp;IF(Raw!J85="","ram missing; ","")&amp;IF(Raw!L85="","screen missing; ",""))</f>
        <v/>
      </c>
    </row>
    <row r="86" customFormat="false" ht="15" hidden="false" customHeight="false" outlineLevel="0" collapsed="false">
      <c r="A86" s="39" t="n">
        <f aca="false">Raw!A86</f>
        <v>316877</v>
      </c>
      <c r="B86" s="37" t="str">
        <f aca="false">Raw!B86</f>
        <v>لپ تاپ ایسوس 16 اینچی مدل TUF Gaming FA607NUG R7 7445HS 16GB 1TB RTX 4050</v>
      </c>
      <c r="C86" s="37" t="str">
        <f aca="false">LOWER(TRIM(Raw!C86))</f>
        <v>asus</v>
      </c>
      <c r="D86" s="37" t="str">
        <f aca="false">IFERROR(INDEX(Params!$B$5:$B$13,MATCH(C86,Params!$A$5:$A$13,0)),PROPER(C86))</f>
        <v>ASUS</v>
      </c>
      <c r="E86" s="37" t="str">
        <f aca="false">IF(Raw!F86,"Available","Out of stock")</f>
        <v>Available</v>
      </c>
      <c r="F86" s="43" t="n">
        <f aca="false">IF(Raw!D86="","",Raw!D86)</f>
        <v>344600000</v>
      </c>
      <c r="G86" s="40" t="n">
        <f aca="false">IF(ISNUMBER(F86),F86/1000000,"")</f>
        <v>344.6</v>
      </c>
      <c r="H86" s="43" t="str">
        <f aca="false">IF(Raw!E86="","",Raw!E86)</f>
        <v/>
      </c>
      <c r="I86" s="42" t="n">
        <f aca="false">IF(AND(ISNUMBER(H86),ISNUMBER(F86)),IF(H86&gt;F86,(H86-F86)/H86,0),0)</f>
        <v>0</v>
      </c>
      <c r="J86" s="39" t="n">
        <f aca="false">IF(I86&gt;0,1,0)</f>
        <v>0</v>
      </c>
      <c r="K86" s="45" t="n">
        <f aca="false">Raw!G86</f>
        <v>5</v>
      </c>
      <c r="L86" s="39" t="n">
        <f aca="false">Raw!H86</f>
        <v>1</v>
      </c>
      <c r="M86" s="41" t="n">
        <f aca="false">IF(L86&gt;0,(L86*K86+p_m*p_c)/(L86+p_m),"")</f>
        <v>4.52272727272727</v>
      </c>
      <c r="N86" s="37" t="str">
        <f aca="false">IF(Raw!I86="","",TRIM(Raw!I86))</f>
        <v>Ryzen 7 7445HS</v>
      </c>
      <c r="O86" s="37" t="str">
        <f aca="false">IF(N86="","Unknown",IF(LEFT(N86,5)="Apple","Apple",IF(LEFT(N86,5)="Ryzen","AMD","Intel")))</f>
        <v>AMD</v>
      </c>
      <c r="P86" s="37" t="str">
        <f aca="false">IF(N86="","Unknown",IF(LEFT(N86,5)="Apple","Apple Silicon",IF(LEFT(N86,8)="Ryzen AI","Ryzen AI",TRIM(LEFT(N86,7)))))</f>
        <v>Ryzen 7</v>
      </c>
      <c r="Q86" s="39" t="n">
        <f aca="false">IFERROR(VALUE(LEFT(Raw!J86,FIND(" ",Raw!J86)-1)),"")</f>
        <v>16</v>
      </c>
      <c r="R86" s="37" t="str">
        <f aca="false">IF(NOT(ISNUMBER(Q86)),"Unknown",IF(Q86&lt;=8,"≤ 8 GB",IF(Q86&lt;=16,"12–16 GB","20 GB +")))</f>
        <v>12–16 GB</v>
      </c>
      <c r="S86" s="37" t="str">
        <f aca="false">IF(Raw!K86="","",IF(ISNUMBER(FIND(" و ",Raw!K86)),TRIM(MID(Raw!K86,FIND(" و ",Raw!K86)+3,100)),TRIM(Raw!K86)))</f>
        <v>1 ترابایت</v>
      </c>
      <c r="T86" s="43" t="n">
        <f aca="false">IF(S86="","",IFERROR(IFERROR(VALUE(LEFT(S86,FIND(" ",S86)-1)),VALUE(LEFT(S86,LEN(S86)-2)))*IF(OR(ISNUMBER(SEARCH("ترابایت",S86)),ISNUMBER(SEARCH("TB",S86))),1024,1),""))</f>
        <v>1024</v>
      </c>
      <c r="U86" s="37" t="str">
        <f aca="false">IF(NOT(ISNUMBER(T86)),"Unknown",IF(T86&lt;=256,"≤ 256 GB",IF(T86&lt;=512,"512 GB","1 TB +")))</f>
        <v>1 TB +</v>
      </c>
      <c r="V86" s="45" t="n">
        <f aca="false">IFERROR(VALUE(SUBSTITUTE(LEFT(Raw!L86,FIND(" ",Raw!L86)-1),".",MID(1/2,2,1))),"")</f>
        <v>16</v>
      </c>
      <c r="W86" s="41" t="n">
        <f aca="false">IFERROR(VALUE(SUBSTITUTE(LEFT(Raw!N86,FIND(" ",Raw!N86)-1),".",MID(1/2,2,1))),"")</f>
        <v>2.3</v>
      </c>
      <c r="X86" s="37" t="str">
        <f aca="false">IF(Raw!M86="","",TRIM(Raw!M86))</f>
        <v>NVIDIA GeForce RTX 4050</v>
      </c>
      <c r="Y86" s="37" t="str">
        <f aca="false">IF(X86="","Unknown",IF(ISNUMBER(SEARCH("nvidia",X86)),"NVIDIA",IF(ISNUMBER(SEARCH("amd",X86)),"AMD",IF(ISNUMBER(SEARCH("apple",X86)),"Apple",IF(ISNUMBER(SEARCH("intel",X86)),"Intel","Other")))))</f>
        <v>NVIDIA</v>
      </c>
      <c r="Z86" s="37" t="str">
        <f aca="false">IF(X86="","Unknown",IF(ISNUMBER(SEARCH("RTX",X86))+ISNUMBER(SEARCH("GTX",X86))+ISNUMBER(SEARCH("nvidia",X86))+ISNUMBER(SEARCH("Radeon RX",X86))&gt;0,"Dedicated","Integrated"))</f>
        <v>Dedicated</v>
      </c>
      <c r="AA86" s="37" t="str">
        <f aca="false">IF(ISNUMBER(SEARCH("RTX",X86)),TRIM(MID(X86,SEARCH("RTX",X86),8)),IF(X86="","Unknown",IF(Z86="Dedicated","Dedicated (model n/a)","Integrated")))</f>
        <v>RTX 4050</v>
      </c>
      <c r="AB86" s="37" t="str">
        <f aca="false">IF(ISNUMBER(G86),INDEX(Params!$E$5:$E$9,MATCH(G86,Params!$D$5:$D$9,1)),"Unknown")</f>
        <v>300–400 M</v>
      </c>
      <c r="AC86" s="45" t="n">
        <f aca="false">IF(AND(ISNUMBER(G86),ISNUMBER(Q86)),IF(Q86&gt;0,G86/Q86,""),"")</f>
        <v>21.5375</v>
      </c>
      <c r="AD86" s="39" t="n">
        <f aca="false">IF(OR(p_excl=0,ISNUMBER(SEARCH("لپ",B86))),1,0)</f>
        <v>1</v>
      </c>
      <c r="AE86" s="39" t="n">
        <f aca="false">IF(AND(AD86=1,OR(fBrand="All",D86=fBrand),OR(fCPU="All",O86=fCPU),OR(fGPU="All",Z86=fGPU),OR(fTier="All",AB86=fTier),OR(fRAM="All",R86=fRAM)),1,0)</f>
        <v>1</v>
      </c>
      <c r="AF86" s="39" t="n">
        <f aca="false">IF(AND(AE86=1,ISNUMBER(G86)),1,0)</f>
        <v>1</v>
      </c>
      <c r="AG86" s="39" t="n">
        <f aca="false">IF(AND(AE86=1,L86&gt;0),1,0)</f>
        <v>1</v>
      </c>
      <c r="AH86" s="40" t="n">
        <f aca="false">IF(AF86=1,G86,"")</f>
        <v>344.6</v>
      </c>
      <c r="AI86" s="39" t="str">
        <f aca="false">IF(COUNTIF($D$2:D86,D86)=1,MAX($AI$1:AI85)+1,"")</f>
        <v/>
      </c>
      <c r="AJ86" s="39" t="str">
        <f aca="false">IF(COUNTIF($P$2:P86,P86)=1,MAX($AJ$1:AJ85)+1,"")</f>
        <v/>
      </c>
      <c r="AK86" s="47" t="n">
        <f aca="false">IF(AG86=1,M86+ROW()/1000000000,"")</f>
        <v>4.52272735872727</v>
      </c>
      <c r="AL86" s="47" t="str">
        <f aca="false">IF(AND(AE86=1,I86&gt;0),I86+ROW()/1000000000,"")</f>
        <v/>
      </c>
      <c r="AM86" s="39" t="n">
        <f aca="false">IF(AND(AF86=1,ISNUMBER(W86),Z86="Dedicated"),1,0)</f>
        <v>1</v>
      </c>
      <c r="AN86" s="39" t="n">
        <f aca="false">SUM($AM$2:AM86)</f>
        <v>25</v>
      </c>
      <c r="AO86" s="39" t="n">
        <f aca="false">IF(AND(AF86=1,ISNUMBER(W86),Z86&lt;&gt;"Dedicated"),1,0)</f>
        <v>0</v>
      </c>
      <c r="AP86" s="39" t="n">
        <f aca="false">SUM($AO$2:AO86)</f>
        <v>53</v>
      </c>
      <c r="AQ86" s="39" t="n">
        <f aca="false">IF(AND(AF86=1,AG86=1),1,0)</f>
        <v>1</v>
      </c>
      <c r="AR86" s="39" t="n">
        <f aca="false">SUM($AQ$2:AQ86)</f>
        <v>84</v>
      </c>
      <c r="AS86" s="45" t="n">
        <f aca="false">IF(AQ86=1,G86,0)</f>
        <v>344.6</v>
      </c>
      <c r="AT86" s="45" t="n">
        <f aca="false">IF(AQ86=1,K86,0)</f>
        <v>5</v>
      </c>
      <c r="AU86" s="37" t="str">
        <f aca="false">TRIM(IF(Raw!N86="","weight missing; ","")&amp;IF(Raw!K86="","storage missing; ","")&amp;IF(ISNUMBER(FIND(" و ",Raw!K86)),"dual storage - SSD part used; ","")&amp;IF(ISNUMBER(SEARCH("TB",Raw!K86)),"storage written as TB; ","")&amp;IF(Raw!I86="","cpu missing; ","")&amp;IF(Raw!M86="","gpu missing; ","")&amp;IF(Raw!J86="","ram missing; ","")&amp;IF(Raw!L86="","screen missing; ",""))</f>
        <v/>
      </c>
    </row>
    <row r="87" customFormat="false" ht="15" hidden="false" customHeight="false" outlineLevel="0" collapsed="false">
      <c r="A87" s="39" t="n">
        <f aca="false">Raw!A87</f>
        <v>313739</v>
      </c>
      <c r="B87" s="37" t="str">
        <f aca="false">Raw!B87</f>
        <v>لپ تاپ 15.6 اینچی ایسوس مدل ExpertBook B1503CVA i5 1334U 20GB 512GB</v>
      </c>
      <c r="C87" s="37" t="str">
        <f aca="false">LOWER(TRIM(Raw!C87))</f>
        <v>asus</v>
      </c>
      <c r="D87" s="37" t="str">
        <f aca="false">IFERROR(INDEX(Params!$B$5:$B$13,MATCH(C87,Params!$A$5:$A$13,0)),PROPER(C87))</f>
        <v>ASUS</v>
      </c>
      <c r="E87" s="37" t="str">
        <f aca="false">IF(Raw!F87,"Available","Out of stock")</f>
        <v>Available</v>
      </c>
      <c r="F87" s="43" t="n">
        <f aca="false">IF(Raw!D87="","",Raw!D87)</f>
        <v>223000000</v>
      </c>
      <c r="G87" s="40" t="n">
        <f aca="false">IF(ISNUMBER(F87),F87/1000000,"")</f>
        <v>223</v>
      </c>
      <c r="H87" s="43" t="str">
        <f aca="false">IF(Raw!E87="","",Raw!E87)</f>
        <v/>
      </c>
      <c r="I87" s="42" t="n">
        <f aca="false">IF(AND(ISNUMBER(H87),ISNUMBER(F87)),IF(H87&gt;F87,(H87-F87)/H87,0),0)</f>
        <v>0</v>
      </c>
      <c r="J87" s="39" t="n">
        <f aca="false">IF(I87&gt;0,1,0)</f>
        <v>0</v>
      </c>
      <c r="K87" s="45" t="n">
        <f aca="false">Raw!G87</f>
        <v>5</v>
      </c>
      <c r="L87" s="39" t="n">
        <f aca="false">Raw!H87</f>
        <v>1</v>
      </c>
      <c r="M87" s="41" t="n">
        <f aca="false">IF(L87&gt;0,(L87*K87+p_m*p_c)/(L87+p_m),"")</f>
        <v>4.52272727272727</v>
      </c>
      <c r="N87" s="37" t="str">
        <f aca="false">IF(Raw!I87="","",TRIM(Raw!I87))</f>
        <v>Core i5 1334U</v>
      </c>
      <c r="O87" s="37" t="str">
        <f aca="false">IF(N87="","Unknown",IF(LEFT(N87,5)="Apple","Apple",IF(LEFT(N87,5)="Ryzen","AMD","Intel")))</f>
        <v>Intel</v>
      </c>
      <c r="P87" s="37" t="str">
        <f aca="false">IF(N87="","Unknown",IF(LEFT(N87,5)="Apple","Apple Silicon",IF(LEFT(N87,8)="Ryzen AI","Ryzen AI",TRIM(LEFT(N87,7)))))</f>
        <v>Core i5</v>
      </c>
      <c r="Q87" s="39" t="n">
        <f aca="false">IFERROR(VALUE(LEFT(Raw!J87,FIND(" ",Raw!J87)-1)),"")</f>
        <v>20</v>
      </c>
      <c r="R87" s="37" t="str">
        <f aca="false">IF(NOT(ISNUMBER(Q87)),"Unknown",IF(Q87&lt;=8,"≤ 8 GB",IF(Q87&lt;=16,"12–16 GB","20 GB +")))</f>
        <v>20 GB +</v>
      </c>
      <c r="S87" s="37" t="str">
        <f aca="false">IF(Raw!K87="","",IF(ISNUMBER(FIND(" و ",Raw!K87)),TRIM(MID(Raw!K87,FIND(" و ",Raw!K87)+3,100)),TRIM(Raw!K87)))</f>
        <v>512 گیگابایت</v>
      </c>
      <c r="T87" s="43" t="n">
        <f aca="false">IF(S87="","",IFERROR(IFERROR(VALUE(LEFT(S87,FIND(" ",S87)-1)),VALUE(LEFT(S87,LEN(S87)-2)))*IF(OR(ISNUMBER(SEARCH("ترابایت",S87)),ISNUMBER(SEARCH("TB",S87))),1024,1),""))</f>
        <v>512</v>
      </c>
      <c r="U87" s="37" t="str">
        <f aca="false">IF(NOT(ISNUMBER(T87)),"Unknown",IF(T87&lt;=256,"≤ 256 GB",IF(T87&lt;=512,"512 GB","1 TB +")))</f>
        <v>512 GB</v>
      </c>
      <c r="V87" s="45" t="n">
        <f aca="false">IFERROR(VALUE(SUBSTITUTE(LEFT(Raw!L87,FIND(" ",Raw!L87)-1),".",MID(1/2,2,1))),"")</f>
        <v>15.6</v>
      </c>
      <c r="W87" s="41" t="n">
        <f aca="false">IFERROR(VALUE(SUBSTITUTE(LEFT(Raw!N87,FIND(" ",Raw!N87)-1),".",MID(1/2,2,1))),"")</f>
        <v>1.63</v>
      </c>
      <c r="X87" s="37" t="str">
        <f aca="false">IF(Raw!M87="","",TRIM(Raw!M87))</f>
        <v>intel Intel Iris Xe</v>
      </c>
      <c r="Y87" s="37" t="str">
        <f aca="false">IF(X87="","Unknown",IF(ISNUMBER(SEARCH("nvidia",X87)),"NVIDIA",IF(ISNUMBER(SEARCH("amd",X87)),"AMD",IF(ISNUMBER(SEARCH("apple",X87)),"Apple",IF(ISNUMBER(SEARCH("intel",X87)),"Intel","Other")))))</f>
        <v>Intel</v>
      </c>
      <c r="Z87" s="37" t="str">
        <f aca="false">IF(X87="","Unknown",IF(ISNUMBER(SEARCH("RTX",X87))+ISNUMBER(SEARCH("GTX",X87))+ISNUMBER(SEARCH("nvidia",X87))+ISNUMBER(SEARCH("Radeon RX",X87))&gt;0,"Dedicated","Integrated"))</f>
        <v>Integrated</v>
      </c>
      <c r="AA87" s="37" t="str">
        <f aca="false">IF(ISNUMBER(SEARCH("RTX",X87)),TRIM(MID(X87,SEARCH("RTX",X87),8)),IF(X87="","Unknown",IF(Z87="Dedicated","Dedicated (model n/a)","Integrated")))</f>
        <v>Integrated</v>
      </c>
      <c r="AB87" s="37" t="str">
        <f aca="false">IF(ISNUMBER(G87),INDEX(Params!$E$5:$E$9,MATCH(G87,Params!$D$5:$D$9,1)),"Unknown")</f>
        <v>200–300 M</v>
      </c>
      <c r="AC87" s="45" t="n">
        <f aca="false">IF(AND(ISNUMBER(G87),ISNUMBER(Q87)),IF(Q87&gt;0,G87/Q87,""),"")</f>
        <v>11.15</v>
      </c>
      <c r="AD87" s="39" t="n">
        <f aca="false">IF(OR(p_excl=0,ISNUMBER(SEARCH("لپ",B87))),1,0)</f>
        <v>1</v>
      </c>
      <c r="AE87" s="39" t="n">
        <f aca="false">IF(AND(AD87=1,OR(fBrand="All",D87=fBrand),OR(fCPU="All",O87=fCPU),OR(fGPU="All",Z87=fGPU),OR(fTier="All",AB87=fTier),OR(fRAM="All",R87=fRAM)),1,0)</f>
        <v>1</v>
      </c>
      <c r="AF87" s="39" t="n">
        <f aca="false">IF(AND(AE87=1,ISNUMBER(G87)),1,0)</f>
        <v>1</v>
      </c>
      <c r="AG87" s="39" t="n">
        <f aca="false">IF(AND(AE87=1,L87&gt;0),1,0)</f>
        <v>1</v>
      </c>
      <c r="AH87" s="40" t="n">
        <f aca="false">IF(AF87=1,G87,"")</f>
        <v>223</v>
      </c>
      <c r="AI87" s="39" t="str">
        <f aca="false">IF(COUNTIF($D$2:D87,D87)=1,MAX($AI$1:AI86)+1,"")</f>
        <v/>
      </c>
      <c r="AJ87" s="39" t="str">
        <f aca="false">IF(COUNTIF($P$2:P87,P87)=1,MAX($AJ$1:AJ86)+1,"")</f>
        <v/>
      </c>
      <c r="AK87" s="47" t="n">
        <f aca="false">IF(AG87=1,M87+ROW()/1000000000,"")</f>
        <v>4.52272735972727</v>
      </c>
      <c r="AL87" s="47" t="str">
        <f aca="false">IF(AND(AE87=1,I87&gt;0),I87+ROW()/1000000000,"")</f>
        <v/>
      </c>
      <c r="AM87" s="39" t="n">
        <f aca="false">IF(AND(AF87=1,ISNUMBER(W87),Z87="Dedicated"),1,0)</f>
        <v>0</v>
      </c>
      <c r="AN87" s="39" t="n">
        <f aca="false">SUM($AM$2:AM87)</f>
        <v>25</v>
      </c>
      <c r="AO87" s="39" t="n">
        <f aca="false">IF(AND(AF87=1,ISNUMBER(W87),Z87&lt;&gt;"Dedicated"),1,0)</f>
        <v>1</v>
      </c>
      <c r="AP87" s="39" t="n">
        <f aca="false">SUM($AO$2:AO87)</f>
        <v>54</v>
      </c>
      <c r="AQ87" s="39" t="n">
        <f aca="false">IF(AND(AF87=1,AG87=1),1,0)</f>
        <v>1</v>
      </c>
      <c r="AR87" s="39" t="n">
        <f aca="false">SUM($AQ$2:AQ87)</f>
        <v>85</v>
      </c>
      <c r="AS87" s="45" t="n">
        <f aca="false">IF(AQ87=1,G87,0)</f>
        <v>223</v>
      </c>
      <c r="AT87" s="45" t="n">
        <f aca="false">IF(AQ87=1,K87,0)</f>
        <v>5</v>
      </c>
      <c r="AU87" s="37" t="str">
        <f aca="false">TRIM(IF(Raw!N87="","weight missing; ","")&amp;IF(Raw!K87="","storage missing; ","")&amp;IF(ISNUMBER(FIND(" و ",Raw!K87)),"dual storage - SSD part used; ","")&amp;IF(ISNUMBER(SEARCH("TB",Raw!K87)),"storage written as TB; ","")&amp;IF(Raw!I87="","cpu missing; ","")&amp;IF(Raw!M87="","gpu missing; ","")&amp;IF(Raw!J87="","ram missing; ","")&amp;IF(Raw!L87="","screen missing; ",""))</f>
        <v/>
      </c>
    </row>
    <row r="88" customFormat="false" ht="15" hidden="false" customHeight="false" outlineLevel="0" collapsed="false">
      <c r="A88" s="39" t="n">
        <f aca="false">Raw!A88</f>
        <v>303390</v>
      </c>
      <c r="B88" s="37" t="str">
        <f aca="false">Raw!B88</f>
        <v>لپ تاپ ایسوس 16 اینچی مدل TUF Gaming FA607NUG R7 7445HS 16GB 512GB RTX 4050</v>
      </c>
      <c r="C88" s="37" t="str">
        <f aca="false">LOWER(TRIM(Raw!C88))</f>
        <v>asus</v>
      </c>
      <c r="D88" s="37" t="str">
        <f aca="false">IFERROR(INDEX(Params!$B$5:$B$13,MATCH(C88,Params!$A$5:$A$13,0)),PROPER(C88))</f>
        <v>ASUS</v>
      </c>
      <c r="E88" s="37" t="str">
        <f aca="false">IF(Raw!F88,"Available","Out of stock")</f>
        <v>Available</v>
      </c>
      <c r="F88" s="43" t="n">
        <f aca="false">IF(Raw!D88="","",Raw!D88)</f>
        <v>333500000</v>
      </c>
      <c r="G88" s="40" t="n">
        <f aca="false">IF(ISNUMBER(F88),F88/1000000,"")</f>
        <v>333.5</v>
      </c>
      <c r="H88" s="43" t="str">
        <f aca="false">IF(Raw!E88="","",Raw!E88)</f>
        <v/>
      </c>
      <c r="I88" s="42" t="n">
        <f aca="false">IF(AND(ISNUMBER(H88),ISNUMBER(F88)),IF(H88&gt;F88,(H88-F88)/H88,0),0)</f>
        <v>0</v>
      </c>
      <c r="J88" s="39" t="n">
        <f aca="false">IF(I88&gt;0,1,0)</f>
        <v>0</v>
      </c>
      <c r="K88" s="45" t="n">
        <f aca="false">Raw!G88</f>
        <v>4.2</v>
      </c>
      <c r="L88" s="39" t="n">
        <f aca="false">Raw!H88</f>
        <v>13</v>
      </c>
      <c r="M88" s="41" t="n">
        <f aca="false">IF(L88&gt;0,(L88*K88+p_m*p_c)/(L88+p_m),"")</f>
        <v>4.3195652173913</v>
      </c>
      <c r="N88" s="37" t="str">
        <f aca="false">IF(Raw!I88="","",TRIM(Raw!I88))</f>
        <v>Ryzen 7 7445HS</v>
      </c>
      <c r="O88" s="37" t="str">
        <f aca="false">IF(N88="","Unknown",IF(LEFT(N88,5)="Apple","Apple",IF(LEFT(N88,5)="Ryzen","AMD","Intel")))</f>
        <v>AMD</v>
      </c>
      <c r="P88" s="37" t="str">
        <f aca="false">IF(N88="","Unknown",IF(LEFT(N88,5)="Apple","Apple Silicon",IF(LEFT(N88,8)="Ryzen AI","Ryzen AI",TRIM(LEFT(N88,7)))))</f>
        <v>Ryzen 7</v>
      </c>
      <c r="Q88" s="39" t="n">
        <f aca="false">IFERROR(VALUE(LEFT(Raw!J88,FIND(" ",Raw!J88)-1)),"")</f>
        <v>16</v>
      </c>
      <c r="R88" s="37" t="str">
        <f aca="false">IF(NOT(ISNUMBER(Q88)),"Unknown",IF(Q88&lt;=8,"≤ 8 GB",IF(Q88&lt;=16,"12–16 GB","20 GB +")))</f>
        <v>12–16 GB</v>
      </c>
      <c r="S88" s="37" t="str">
        <f aca="false">IF(Raw!K88="","",IF(ISNUMBER(FIND(" و ",Raw!K88)),TRIM(MID(Raw!K88,FIND(" و ",Raw!K88)+3,100)),TRIM(Raw!K88)))</f>
        <v>512 گیگابایت</v>
      </c>
      <c r="T88" s="43" t="n">
        <f aca="false">IF(S88="","",IFERROR(IFERROR(VALUE(LEFT(S88,FIND(" ",S88)-1)),VALUE(LEFT(S88,LEN(S88)-2)))*IF(OR(ISNUMBER(SEARCH("ترابایت",S88)),ISNUMBER(SEARCH("TB",S88))),1024,1),""))</f>
        <v>512</v>
      </c>
      <c r="U88" s="37" t="str">
        <f aca="false">IF(NOT(ISNUMBER(T88)),"Unknown",IF(T88&lt;=256,"≤ 256 GB",IF(T88&lt;=512,"512 GB","1 TB +")))</f>
        <v>512 GB</v>
      </c>
      <c r="V88" s="45" t="n">
        <f aca="false">IFERROR(VALUE(SUBSTITUTE(LEFT(Raw!L88,FIND(" ",Raw!L88)-1),".",MID(1/2,2,1))),"")</f>
        <v>16</v>
      </c>
      <c r="W88" s="41" t="n">
        <f aca="false">IFERROR(VALUE(SUBSTITUTE(LEFT(Raw!N88,FIND(" ",Raw!N88)-1),".",MID(1/2,2,1))),"")</f>
        <v>2.3</v>
      </c>
      <c r="X88" s="37" t="str">
        <f aca="false">IF(Raw!M88="","",TRIM(Raw!M88))</f>
        <v>NVIDIA GeForce RTX 4050</v>
      </c>
      <c r="Y88" s="37" t="str">
        <f aca="false">IF(X88="","Unknown",IF(ISNUMBER(SEARCH("nvidia",X88)),"NVIDIA",IF(ISNUMBER(SEARCH("amd",X88)),"AMD",IF(ISNUMBER(SEARCH("apple",X88)),"Apple",IF(ISNUMBER(SEARCH("intel",X88)),"Intel","Other")))))</f>
        <v>NVIDIA</v>
      </c>
      <c r="Z88" s="37" t="str">
        <f aca="false">IF(X88="","Unknown",IF(ISNUMBER(SEARCH("RTX",X88))+ISNUMBER(SEARCH("GTX",X88))+ISNUMBER(SEARCH("nvidia",X88))+ISNUMBER(SEARCH("Radeon RX",X88))&gt;0,"Dedicated","Integrated"))</f>
        <v>Dedicated</v>
      </c>
      <c r="AA88" s="37" t="str">
        <f aca="false">IF(ISNUMBER(SEARCH("RTX",X88)),TRIM(MID(X88,SEARCH("RTX",X88),8)),IF(X88="","Unknown",IF(Z88="Dedicated","Dedicated (model n/a)","Integrated")))</f>
        <v>RTX 4050</v>
      </c>
      <c r="AB88" s="37" t="str">
        <f aca="false">IF(ISNUMBER(G88),INDEX(Params!$E$5:$E$9,MATCH(G88,Params!$D$5:$D$9,1)),"Unknown")</f>
        <v>300–400 M</v>
      </c>
      <c r="AC88" s="45" t="n">
        <f aca="false">IF(AND(ISNUMBER(G88),ISNUMBER(Q88)),IF(Q88&gt;0,G88/Q88,""),"")</f>
        <v>20.84375</v>
      </c>
      <c r="AD88" s="39" t="n">
        <f aca="false">IF(OR(p_excl=0,ISNUMBER(SEARCH("لپ",B88))),1,0)</f>
        <v>1</v>
      </c>
      <c r="AE88" s="39" t="n">
        <f aca="false">IF(AND(AD88=1,OR(fBrand="All",D88=fBrand),OR(fCPU="All",O88=fCPU),OR(fGPU="All",Z88=fGPU),OR(fTier="All",AB88=fTier),OR(fRAM="All",R88=fRAM)),1,0)</f>
        <v>1</v>
      </c>
      <c r="AF88" s="39" t="n">
        <f aca="false">IF(AND(AE88=1,ISNUMBER(G88)),1,0)</f>
        <v>1</v>
      </c>
      <c r="AG88" s="39" t="n">
        <f aca="false">IF(AND(AE88=1,L88&gt;0),1,0)</f>
        <v>1</v>
      </c>
      <c r="AH88" s="40" t="n">
        <f aca="false">IF(AF88=1,G88,"")</f>
        <v>333.5</v>
      </c>
      <c r="AI88" s="39" t="str">
        <f aca="false">IF(COUNTIF($D$2:D88,D88)=1,MAX($AI$1:AI87)+1,"")</f>
        <v/>
      </c>
      <c r="AJ88" s="39" t="str">
        <f aca="false">IF(COUNTIF($P$2:P88,P88)=1,MAX($AJ$1:AJ87)+1,"")</f>
        <v/>
      </c>
      <c r="AK88" s="47" t="n">
        <f aca="false">IF(AG88=1,M88+ROW()/1000000000,"")</f>
        <v>4.3195653053913</v>
      </c>
      <c r="AL88" s="47" t="str">
        <f aca="false">IF(AND(AE88=1,I88&gt;0),I88+ROW()/1000000000,"")</f>
        <v/>
      </c>
      <c r="AM88" s="39" t="n">
        <f aca="false">IF(AND(AF88=1,ISNUMBER(W88),Z88="Dedicated"),1,0)</f>
        <v>1</v>
      </c>
      <c r="AN88" s="39" t="n">
        <f aca="false">SUM($AM$2:AM88)</f>
        <v>26</v>
      </c>
      <c r="AO88" s="39" t="n">
        <f aca="false">IF(AND(AF88=1,ISNUMBER(W88),Z88&lt;&gt;"Dedicated"),1,0)</f>
        <v>0</v>
      </c>
      <c r="AP88" s="39" t="n">
        <f aca="false">SUM($AO$2:AO88)</f>
        <v>54</v>
      </c>
      <c r="AQ88" s="39" t="n">
        <f aca="false">IF(AND(AF88=1,AG88=1),1,0)</f>
        <v>1</v>
      </c>
      <c r="AR88" s="39" t="n">
        <f aca="false">SUM($AQ$2:AQ88)</f>
        <v>86</v>
      </c>
      <c r="AS88" s="45" t="n">
        <f aca="false">IF(AQ88=1,G88,0)</f>
        <v>333.5</v>
      </c>
      <c r="AT88" s="45" t="n">
        <f aca="false">IF(AQ88=1,K88,0)</f>
        <v>4.2</v>
      </c>
      <c r="AU88" s="37" t="str">
        <f aca="false">TRIM(IF(Raw!N88="","weight missing; ","")&amp;IF(Raw!K88="","storage missing; ","")&amp;IF(ISNUMBER(FIND(" و ",Raw!K88)),"dual storage - SSD part used; ","")&amp;IF(ISNUMBER(SEARCH("TB",Raw!K88)),"storage written as TB; ","")&amp;IF(Raw!I88="","cpu missing; ","")&amp;IF(Raw!M88="","gpu missing; ","")&amp;IF(Raw!J88="","ram missing; ","")&amp;IF(Raw!L88="","screen missing; ",""))</f>
        <v/>
      </c>
    </row>
    <row r="89" customFormat="false" ht="15" hidden="false" customHeight="false" outlineLevel="0" collapsed="false">
      <c r="A89" s="39" t="n">
        <f aca="false">Raw!A89</f>
        <v>279504</v>
      </c>
      <c r="B89" s="37" t="str">
        <f aca="false">Raw!B89</f>
        <v>لپ تاپ لنوو 15.6 اینچی مدل V15 G4 i7 13620H 16GB 512GB</v>
      </c>
      <c r="C89" s="37" t="str">
        <f aca="false">LOWER(TRIM(Raw!C89))</f>
        <v>lenovo</v>
      </c>
      <c r="D89" s="37" t="str">
        <f aca="false">IFERROR(INDEX(Params!$B$5:$B$13,MATCH(C89,Params!$A$5:$A$13,0)),PROPER(C89))</f>
        <v>Lenovo</v>
      </c>
      <c r="E89" s="37" t="str">
        <f aca="false">IF(Raw!F89,"Available","Out of stock")</f>
        <v>Available</v>
      </c>
      <c r="F89" s="43" t="n">
        <f aca="false">IF(Raw!D89="","",Raw!D89)</f>
        <v>204800000</v>
      </c>
      <c r="G89" s="40" t="n">
        <f aca="false">IF(ISNUMBER(F89),F89/1000000,"")</f>
        <v>204.8</v>
      </c>
      <c r="H89" s="43" t="str">
        <f aca="false">IF(Raw!E89="","",Raw!E89)</f>
        <v/>
      </c>
      <c r="I89" s="42" t="n">
        <f aca="false">IF(AND(ISNUMBER(H89),ISNUMBER(F89)),IF(H89&gt;F89,(H89-F89)/H89,0),0)</f>
        <v>0</v>
      </c>
      <c r="J89" s="39" t="n">
        <f aca="false">IF(I89&gt;0,1,0)</f>
        <v>0</v>
      </c>
      <c r="K89" s="45" t="n">
        <f aca="false">Raw!G89</f>
        <v>5</v>
      </c>
      <c r="L89" s="39" t="n">
        <f aca="false">Raw!H89</f>
        <v>1</v>
      </c>
      <c r="M89" s="41" t="n">
        <f aca="false">IF(L89&gt;0,(L89*K89+p_m*p_c)/(L89+p_m),"")</f>
        <v>4.52272727272727</v>
      </c>
      <c r="N89" s="37" t="str">
        <f aca="false">IF(Raw!I89="","",TRIM(Raw!I89))</f>
        <v>Core i7 13620H</v>
      </c>
      <c r="O89" s="37" t="str">
        <f aca="false">IF(N89="","Unknown",IF(LEFT(N89,5)="Apple","Apple",IF(LEFT(N89,5)="Ryzen","AMD","Intel")))</f>
        <v>Intel</v>
      </c>
      <c r="P89" s="37" t="str">
        <f aca="false">IF(N89="","Unknown",IF(LEFT(N89,5)="Apple","Apple Silicon",IF(LEFT(N89,8)="Ryzen AI","Ryzen AI",TRIM(LEFT(N89,7)))))</f>
        <v>Core i7</v>
      </c>
      <c r="Q89" s="39" t="n">
        <f aca="false">IFERROR(VALUE(LEFT(Raw!J89,FIND(" ",Raw!J89)-1)),"")</f>
        <v>16</v>
      </c>
      <c r="R89" s="37" t="str">
        <f aca="false">IF(NOT(ISNUMBER(Q89)),"Unknown",IF(Q89&lt;=8,"≤ 8 GB",IF(Q89&lt;=16,"12–16 GB","20 GB +")))</f>
        <v>12–16 GB</v>
      </c>
      <c r="S89" s="37" t="str">
        <f aca="false">IF(Raw!K89="","",IF(ISNUMBER(FIND(" و ",Raw!K89)),TRIM(MID(Raw!K89,FIND(" و ",Raw!K89)+3,100)),TRIM(Raw!K89)))</f>
        <v>512 گیگابایت</v>
      </c>
      <c r="T89" s="43" t="n">
        <f aca="false">IF(S89="","",IFERROR(IFERROR(VALUE(LEFT(S89,FIND(" ",S89)-1)),VALUE(LEFT(S89,LEN(S89)-2)))*IF(OR(ISNUMBER(SEARCH("ترابایت",S89)),ISNUMBER(SEARCH("TB",S89))),1024,1),""))</f>
        <v>512</v>
      </c>
      <c r="U89" s="37" t="str">
        <f aca="false">IF(NOT(ISNUMBER(T89)),"Unknown",IF(T89&lt;=256,"≤ 256 GB",IF(T89&lt;=512,"512 GB","1 TB +")))</f>
        <v>512 GB</v>
      </c>
      <c r="V89" s="45" t="n">
        <f aca="false">IFERROR(VALUE(SUBSTITUTE(LEFT(Raw!L89,FIND(" ",Raw!L89)-1),".",MID(1/2,2,1))),"")</f>
        <v>15.6</v>
      </c>
      <c r="W89" s="41" t="n">
        <f aca="false">IFERROR(VALUE(SUBSTITUTE(LEFT(Raw!N89,FIND(" ",Raw!N89)-1),".",MID(1/2,2,1))),"")</f>
        <v>1.6</v>
      </c>
      <c r="X89" s="37" t="str">
        <f aca="false">IF(Raw!M89="","",TRIM(Raw!M89))</f>
        <v>Intel</v>
      </c>
      <c r="Y89" s="37" t="str">
        <f aca="false">IF(X89="","Unknown",IF(ISNUMBER(SEARCH("nvidia",X89)),"NVIDIA",IF(ISNUMBER(SEARCH("amd",X89)),"AMD",IF(ISNUMBER(SEARCH("apple",X89)),"Apple",IF(ISNUMBER(SEARCH("intel",X89)),"Intel","Other")))))</f>
        <v>Intel</v>
      </c>
      <c r="Z89" s="37" t="str">
        <f aca="false">IF(X89="","Unknown",IF(ISNUMBER(SEARCH("RTX",X89))+ISNUMBER(SEARCH("GTX",X89))+ISNUMBER(SEARCH("nvidia",X89))+ISNUMBER(SEARCH("Radeon RX",X89))&gt;0,"Dedicated","Integrated"))</f>
        <v>Integrated</v>
      </c>
      <c r="AA89" s="37" t="str">
        <f aca="false">IF(ISNUMBER(SEARCH("RTX",X89)),TRIM(MID(X89,SEARCH("RTX",X89),8)),IF(X89="","Unknown",IF(Z89="Dedicated","Dedicated (model n/a)","Integrated")))</f>
        <v>Integrated</v>
      </c>
      <c r="AB89" s="37" t="str">
        <f aca="false">IF(ISNUMBER(G89),INDEX(Params!$E$5:$E$9,MATCH(G89,Params!$D$5:$D$9,1)),"Unknown")</f>
        <v>200–300 M</v>
      </c>
      <c r="AC89" s="45" t="n">
        <f aca="false">IF(AND(ISNUMBER(G89),ISNUMBER(Q89)),IF(Q89&gt;0,G89/Q89,""),"")</f>
        <v>12.8</v>
      </c>
      <c r="AD89" s="39" t="n">
        <f aca="false">IF(OR(p_excl=0,ISNUMBER(SEARCH("لپ",B89))),1,0)</f>
        <v>1</v>
      </c>
      <c r="AE89" s="39" t="n">
        <f aca="false">IF(AND(AD89=1,OR(fBrand="All",D89=fBrand),OR(fCPU="All",O89=fCPU),OR(fGPU="All",Z89=fGPU),OR(fTier="All",AB89=fTier),OR(fRAM="All",R89=fRAM)),1,0)</f>
        <v>1</v>
      </c>
      <c r="AF89" s="39" t="n">
        <f aca="false">IF(AND(AE89=1,ISNUMBER(G89)),1,0)</f>
        <v>1</v>
      </c>
      <c r="AG89" s="39" t="n">
        <f aca="false">IF(AND(AE89=1,L89&gt;0),1,0)</f>
        <v>1</v>
      </c>
      <c r="AH89" s="40" t="n">
        <f aca="false">IF(AF89=1,G89,"")</f>
        <v>204.8</v>
      </c>
      <c r="AI89" s="39" t="str">
        <f aca="false">IF(COUNTIF($D$2:D89,D89)=1,MAX($AI$1:AI88)+1,"")</f>
        <v/>
      </c>
      <c r="AJ89" s="39" t="str">
        <f aca="false">IF(COUNTIF($P$2:P89,P89)=1,MAX($AJ$1:AJ88)+1,"")</f>
        <v/>
      </c>
      <c r="AK89" s="47" t="n">
        <f aca="false">IF(AG89=1,M89+ROW()/1000000000,"")</f>
        <v>4.52272736172727</v>
      </c>
      <c r="AL89" s="47" t="str">
        <f aca="false">IF(AND(AE89=1,I89&gt;0),I89+ROW()/1000000000,"")</f>
        <v/>
      </c>
      <c r="AM89" s="39" t="n">
        <f aca="false">IF(AND(AF89=1,ISNUMBER(W89),Z89="Dedicated"),1,0)</f>
        <v>0</v>
      </c>
      <c r="AN89" s="39" t="n">
        <f aca="false">SUM($AM$2:AM89)</f>
        <v>26</v>
      </c>
      <c r="AO89" s="39" t="n">
        <f aca="false">IF(AND(AF89=1,ISNUMBER(W89),Z89&lt;&gt;"Dedicated"),1,0)</f>
        <v>1</v>
      </c>
      <c r="AP89" s="39" t="n">
        <f aca="false">SUM($AO$2:AO89)</f>
        <v>55</v>
      </c>
      <c r="AQ89" s="39" t="n">
        <f aca="false">IF(AND(AF89=1,AG89=1),1,0)</f>
        <v>1</v>
      </c>
      <c r="AR89" s="39" t="n">
        <f aca="false">SUM($AQ$2:AQ89)</f>
        <v>87</v>
      </c>
      <c r="AS89" s="45" t="n">
        <f aca="false">IF(AQ89=1,G89,0)</f>
        <v>204.8</v>
      </c>
      <c r="AT89" s="45" t="n">
        <f aca="false">IF(AQ89=1,K89,0)</f>
        <v>5</v>
      </c>
      <c r="AU89" s="37" t="str">
        <f aca="false">TRIM(IF(Raw!N89="","weight missing; ","")&amp;IF(Raw!K89="","storage missing; ","")&amp;IF(ISNUMBER(FIND(" و ",Raw!K89)),"dual storage - SSD part used; ","")&amp;IF(ISNUMBER(SEARCH("TB",Raw!K89)),"storage written as TB; ","")&amp;IF(Raw!I89="","cpu missing; ","")&amp;IF(Raw!M89="","gpu missing; ","")&amp;IF(Raw!J89="","ram missing; ","")&amp;IF(Raw!L89="","screen missing; ",""))</f>
        <v/>
      </c>
    </row>
    <row r="90" customFormat="false" ht="15" hidden="false" customHeight="false" outlineLevel="0" collapsed="false">
      <c r="A90" s="39" t="n">
        <f aca="false">Raw!A90</f>
        <v>274838</v>
      </c>
      <c r="B90" s="37" t="str">
        <f aca="false">Raw!B90</f>
        <v>لپ تاپ ام اس آی 15.6 اینچی مدل KATANA 15 HX B14WFK i9 14900HX 32GB 1TB RTX 5060</v>
      </c>
      <c r="C90" s="37" t="str">
        <f aca="false">LOWER(TRIM(Raw!C90))</f>
        <v>msi</v>
      </c>
      <c r="D90" s="37" t="str">
        <f aca="false">IFERROR(INDEX(Params!$B$5:$B$13,MATCH(C90,Params!$A$5:$A$13,0)),PROPER(C90))</f>
        <v>MSI</v>
      </c>
      <c r="E90" s="37" t="str">
        <f aca="false">IF(Raw!F90,"Available","Out of stock")</f>
        <v>Available</v>
      </c>
      <c r="F90" s="43" t="n">
        <f aca="false">IF(Raw!D90="","",Raw!D90)</f>
        <v>479500000</v>
      </c>
      <c r="G90" s="40" t="n">
        <f aca="false">IF(ISNUMBER(F90),F90/1000000,"")</f>
        <v>479.5</v>
      </c>
      <c r="H90" s="43" t="str">
        <f aca="false">IF(Raw!E90="","",Raw!E90)</f>
        <v/>
      </c>
      <c r="I90" s="42" t="n">
        <f aca="false">IF(AND(ISNUMBER(H90),ISNUMBER(F90)),IF(H90&gt;F90,(H90-F90)/H90,0),0)</f>
        <v>0</v>
      </c>
      <c r="J90" s="39" t="n">
        <f aca="false">IF(I90&gt;0,1,0)</f>
        <v>0</v>
      </c>
      <c r="K90" s="45" t="n">
        <f aca="false">Raw!G90</f>
        <v>5</v>
      </c>
      <c r="L90" s="39" t="n">
        <f aca="false">Raw!H90</f>
        <v>1</v>
      </c>
      <c r="M90" s="41" t="n">
        <f aca="false">IF(L90&gt;0,(L90*K90+p_m*p_c)/(L90+p_m),"")</f>
        <v>4.52272727272727</v>
      </c>
      <c r="N90" s="37" t="str">
        <f aca="false">IF(Raw!I90="","",TRIM(Raw!I90))</f>
        <v>Core i9 14900HX</v>
      </c>
      <c r="O90" s="37" t="str">
        <f aca="false">IF(N90="","Unknown",IF(LEFT(N90,5)="Apple","Apple",IF(LEFT(N90,5)="Ryzen","AMD","Intel")))</f>
        <v>Intel</v>
      </c>
      <c r="P90" s="37" t="str">
        <f aca="false">IF(N90="","Unknown",IF(LEFT(N90,5)="Apple","Apple Silicon",IF(LEFT(N90,8)="Ryzen AI","Ryzen AI",TRIM(LEFT(N90,7)))))</f>
        <v>Core i9</v>
      </c>
      <c r="Q90" s="39" t="n">
        <f aca="false">IFERROR(VALUE(LEFT(Raw!J90,FIND(" ",Raw!J90)-1)),"")</f>
        <v>32</v>
      </c>
      <c r="R90" s="37" t="str">
        <f aca="false">IF(NOT(ISNUMBER(Q90)),"Unknown",IF(Q90&lt;=8,"≤ 8 GB",IF(Q90&lt;=16,"12–16 GB","20 GB +")))</f>
        <v>20 GB +</v>
      </c>
      <c r="S90" s="37" t="str">
        <f aca="false">IF(Raw!K90="","",IF(ISNUMBER(FIND(" و ",Raw!K90)),TRIM(MID(Raw!K90,FIND(" و ",Raw!K90)+3,100)),TRIM(Raw!K90)))</f>
        <v>1 ترابایت</v>
      </c>
      <c r="T90" s="43" t="n">
        <f aca="false">IF(S90="","",IFERROR(IFERROR(VALUE(LEFT(S90,FIND(" ",S90)-1)),VALUE(LEFT(S90,LEN(S90)-2)))*IF(OR(ISNUMBER(SEARCH("ترابایت",S90)),ISNUMBER(SEARCH("TB",S90))),1024,1),""))</f>
        <v>1024</v>
      </c>
      <c r="U90" s="37" t="str">
        <f aca="false">IF(NOT(ISNUMBER(T90)),"Unknown",IF(T90&lt;=256,"≤ 256 GB",IF(T90&lt;=512,"512 GB","1 TB +")))</f>
        <v>1 TB +</v>
      </c>
      <c r="V90" s="45" t="n">
        <f aca="false">IFERROR(VALUE(SUBSTITUTE(LEFT(Raw!L90,FIND(" ",Raw!L90)-1),".",MID(1/2,2,1))),"")</f>
        <v>15.6</v>
      </c>
      <c r="W90" s="41" t="n">
        <f aca="false">IFERROR(VALUE(SUBSTITUTE(LEFT(Raw!N90,FIND(" ",Raw!N90)-1),".",MID(1/2,2,1))),"")</f>
        <v>2.4</v>
      </c>
      <c r="X90" s="37" t="str">
        <f aca="false">IF(Raw!M90="","",TRIM(Raw!M90))</f>
        <v>NVIDIA GeForce RTX 5060</v>
      </c>
      <c r="Y90" s="37" t="str">
        <f aca="false">IF(X90="","Unknown",IF(ISNUMBER(SEARCH("nvidia",X90)),"NVIDIA",IF(ISNUMBER(SEARCH("amd",X90)),"AMD",IF(ISNUMBER(SEARCH("apple",X90)),"Apple",IF(ISNUMBER(SEARCH("intel",X90)),"Intel","Other")))))</f>
        <v>NVIDIA</v>
      </c>
      <c r="Z90" s="37" t="str">
        <f aca="false">IF(X90="","Unknown",IF(ISNUMBER(SEARCH("RTX",X90))+ISNUMBER(SEARCH("GTX",X90))+ISNUMBER(SEARCH("nvidia",X90))+ISNUMBER(SEARCH("Radeon RX",X90))&gt;0,"Dedicated","Integrated"))</f>
        <v>Dedicated</v>
      </c>
      <c r="AA90" s="37" t="str">
        <f aca="false">IF(ISNUMBER(SEARCH("RTX",X90)),TRIM(MID(X90,SEARCH("RTX",X90),8)),IF(X90="","Unknown",IF(Z90="Dedicated","Dedicated (model n/a)","Integrated")))</f>
        <v>RTX 5060</v>
      </c>
      <c r="AB90" s="37" t="str">
        <f aca="false">IF(ISNUMBER(G90),INDEX(Params!$E$5:$E$9,MATCH(G90,Params!$D$5:$D$9,1)),"Unknown")</f>
        <v>400 M +</v>
      </c>
      <c r="AC90" s="45" t="n">
        <f aca="false">IF(AND(ISNUMBER(G90),ISNUMBER(Q90)),IF(Q90&gt;0,G90/Q90,""),"")</f>
        <v>14.984375</v>
      </c>
      <c r="AD90" s="39" t="n">
        <f aca="false">IF(OR(p_excl=0,ISNUMBER(SEARCH("لپ",B90))),1,0)</f>
        <v>1</v>
      </c>
      <c r="AE90" s="39" t="n">
        <f aca="false">IF(AND(AD90=1,OR(fBrand="All",D90=fBrand),OR(fCPU="All",O90=fCPU),OR(fGPU="All",Z90=fGPU),OR(fTier="All",AB90=fTier),OR(fRAM="All",R90=fRAM)),1,0)</f>
        <v>1</v>
      </c>
      <c r="AF90" s="39" t="n">
        <f aca="false">IF(AND(AE90=1,ISNUMBER(G90)),1,0)</f>
        <v>1</v>
      </c>
      <c r="AG90" s="39" t="n">
        <f aca="false">IF(AND(AE90=1,L90&gt;0),1,0)</f>
        <v>1</v>
      </c>
      <c r="AH90" s="40" t="n">
        <f aca="false">IF(AF90=1,G90,"")</f>
        <v>479.5</v>
      </c>
      <c r="AI90" s="39" t="str">
        <f aca="false">IF(COUNTIF($D$2:D90,D90)=1,MAX($AI$1:AI89)+1,"")</f>
        <v/>
      </c>
      <c r="AJ90" s="39" t="n">
        <f aca="false">IF(COUNTIF($P$2:P90,P90)=1,MAX($AJ$1:AJ89)+1,"")</f>
        <v>15</v>
      </c>
      <c r="AK90" s="47" t="n">
        <f aca="false">IF(AG90=1,M90+ROW()/1000000000,"")</f>
        <v>4.52272736272727</v>
      </c>
      <c r="AL90" s="47" t="str">
        <f aca="false">IF(AND(AE90=1,I90&gt;0),I90+ROW()/1000000000,"")</f>
        <v/>
      </c>
      <c r="AM90" s="39" t="n">
        <f aca="false">IF(AND(AF90=1,ISNUMBER(W90),Z90="Dedicated"),1,0)</f>
        <v>1</v>
      </c>
      <c r="AN90" s="39" t="n">
        <f aca="false">SUM($AM$2:AM90)</f>
        <v>27</v>
      </c>
      <c r="AO90" s="39" t="n">
        <f aca="false">IF(AND(AF90=1,ISNUMBER(W90),Z90&lt;&gt;"Dedicated"),1,0)</f>
        <v>0</v>
      </c>
      <c r="AP90" s="39" t="n">
        <f aca="false">SUM($AO$2:AO90)</f>
        <v>55</v>
      </c>
      <c r="AQ90" s="39" t="n">
        <f aca="false">IF(AND(AF90=1,AG90=1),1,0)</f>
        <v>1</v>
      </c>
      <c r="AR90" s="39" t="n">
        <f aca="false">SUM($AQ$2:AQ90)</f>
        <v>88</v>
      </c>
      <c r="AS90" s="45" t="n">
        <f aca="false">IF(AQ90=1,G90,0)</f>
        <v>479.5</v>
      </c>
      <c r="AT90" s="45" t="n">
        <f aca="false">IF(AQ90=1,K90,0)</f>
        <v>5</v>
      </c>
      <c r="AU90" s="37" t="str">
        <f aca="false">TRIM(IF(Raw!N90="","weight missing; ","")&amp;IF(Raw!K90="","storage missing; ","")&amp;IF(ISNUMBER(FIND(" و ",Raw!K90)),"dual storage - SSD part used; ","")&amp;IF(ISNUMBER(SEARCH("TB",Raw!K90)),"storage written as TB; ","")&amp;IF(Raw!I90="","cpu missing; ","")&amp;IF(Raw!M90="","gpu missing; ","")&amp;IF(Raw!J90="","ram missing; ","")&amp;IF(Raw!L90="","screen missing; ",""))</f>
        <v/>
      </c>
    </row>
    <row r="91" customFormat="false" ht="15" hidden="false" customHeight="false" outlineLevel="0" collapsed="false">
      <c r="A91" s="39" t="n">
        <f aca="false">Raw!A91</f>
        <v>274721</v>
      </c>
      <c r="B91" s="37" t="str">
        <f aca="false">Raw!B91</f>
        <v>لپ تاپ ام اس آی 15.6 اینچی مدل KATANA 15 HX B14WFK i9 14900HX 16GB 1TB RTX 5060</v>
      </c>
      <c r="C91" s="37" t="str">
        <f aca="false">LOWER(TRIM(Raw!C91))</f>
        <v>msi</v>
      </c>
      <c r="D91" s="37" t="str">
        <f aca="false">IFERROR(INDEX(Params!$B$5:$B$13,MATCH(C91,Params!$A$5:$A$13,0)),PROPER(C91))</f>
        <v>MSI</v>
      </c>
      <c r="E91" s="37" t="str">
        <f aca="false">IF(Raw!F91,"Available","Out of stock")</f>
        <v>Available</v>
      </c>
      <c r="F91" s="43" t="n">
        <f aca="false">IF(Raw!D91="","",Raw!D91)</f>
        <v>440000000</v>
      </c>
      <c r="G91" s="40" t="n">
        <f aca="false">IF(ISNUMBER(F91),F91/1000000,"")</f>
        <v>440</v>
      </c>
      <c r="H91" s="43" t="str">
        <f aca="false">IF(Raw!E91="","",Raw!E91)</f>
        <v/>
      </c>
      <c r="I91" s="42" t="n">
        <f aca="false">IF(AND(ISNUMBER(H91),ISNUMBER(F91)),IF(H91&gt;F91,(H91-F91)/H91,0),0)</f>
        <v>0</v>
      </c>
      <c r="J91" s="39" t="n">
        <f aca="false">IF(I91&gt;0,1,0)</f>
        <v>0</v>
      </c>
      <c r="K91" s="45" t="n">
        <f aca="false">Raw!G91</f>
        <v>4.3</v>
      </c>
      <c r="L91" s="39" t="n">
        <f aca="false">Raw!H91</f>
        <v>3</v>
      </c>
      <c r="M91" s="41" t="n">
        <f aca="false">IF(L91&gt;0,(L91*K91+p_m*p_c)/(L91+p_m),"")</f>
        <v>4.43461538461539</v>
      </c>
      <c r="N91" s="37" t="str">
        <f aca="false">IF(Raw!I91="","",TRIM(Raw!I91))</f>
        <v>Core i9 14900HX</v>
      </c>
      <c r="O91" s="37" t="str">
        <f aca="false">IF(N91="","Unknown",IF(LEFT(N91,5)="Apple","Apple",IF(LEFT(N91,5)="Ryzen","AMD","Intel")))</f>
        <v>Intel</v>
      </c>
      <c r="P91" s="37" t="str">
        <f aca="false">IF(N91="","Unknown",IF(LEFT(N91,5)="Apple","Apple Silicon",IF(LEFT(N91,8)="Ryzen AI","Ryzen AI",TRIM(LEFT(N91,7)))))</f>
        <v>Core i9</v>
      </c>
      <c r="Q91" s="39" t="n">
        <f aca="false">IFERROR(VALUE(LEFT(Raw!J91,FIND(" ",Raw!J91)-1)),"")</f>
        <v>16</v>
      </c>
      <c r="R91" s="37" t="str">
        <f aca="false">IF(NOT(ISNUMBER(Q91)),"Unknown",IF(Q91&lt;=8,"≤ 8 GB",IF(Q91&lt;=16,"12–16 GB","20 GB +")))</f>
        <v>12–16 GB</v>
      </c>
      <c r="S91" s="37" t="str">
        <f aca="false">IF(Raw!K91="","",IF(ISNUMBER(FIND(" و ",Raw!K91)),TRIM(MID(Raw!K91,FIND(" و ",Raw!K91)+3,100)),TRIM(Raw!K91)))</f>
        <v>1 ترابایت</v>
      </c>
      <c r="T91" s="43" t="n">
        <f aca="false">IF(S91="","",IFERROR(IFERROR(VALUE(LEFT(S91,FIND(" ",S91)-1)),VALUE(LEFT(S91,LEN(S91)-2)))*IF(OR(ISNUMBER(SEARCH("ترابایت",S91)),ISNUMBER(SEARCH("TB",S91))),1024,1),""))</f>
        <v>1024</v>
      </c>
      <c r="U91" s="37" t="str">
        <f aca="false">IF(NOT(ISNUMBER(T91)),"Unknown",IF(T91&lt;=256,"≤ 256 GB",IF(T91&lt;=512,"512 GB","1 TB +")))</f>
        <v>1 TB +</v>
      </c>
      <c r="V91" s="45" t="n">
        <f aca="false">IFERROR(VALUE(SUBSTITUTE(LEFT(Raw!L91,FIND(" ",Raw!L91)-1),".",MID(1/2,2,1))),"")</f>
        <v>15.6</v>
      </c>
      <c r="W91" s="41" t="n">
        <f aca="false">IFERROR(VALUE(SUBSTITUTE(LEFT(Raw!N91,FIND(" ",Raw!N91)-1),".",MID(1/2,2,1))),"")</f>
        <v>2.4</v>
      </c>
      <c r="X91" s="37" t="str">
        <f aca="false">IF(Raw!M91="","",TRIM(Raw!M91))</f>
        <v>NVIDIA GeForce RTX 5060</v>
      </c>
      <c r="Y91" s="37" t="str">
        <f aca="false">IF(X91="","Unknown",IF(ISNUMBER(SEARCH("nvidia",X91)),"NVIDIA",IF(ISNUMBER(SEARCH("amd",X91)),"AMD",IF(ISNUMBER(SEARCH("apple",X91)),"Apple",IF(ISNUMBER(SEARCH("intel",X91)),"Intel","Other")))))</f>
        <v>NVIDIA</v>
      </c>
      <c r="Z91" s="37" t="str">
        <f aca="false">IF(X91="","Unknown",IF(ISNUMBER(SEARCH("RTX",X91))+ISNUMBER(SEARCH("GTX",X91))+ISNUMBER(SEARCH("nvidia",X91))+ISNUMBER(SEARCH("Radeon RX",X91))&gt;0,"Dedicated","Integrated"))</f>
        <v>Dedicated</v>
      </c>
      <c r="AA91" s="37" t="str">
        <f aca="false">IF(ISNUMBER(SEARCH("RTX",X91)),TRIM(MID(X91,SEARCH("RTX",X91),8)),IF(X91="","Unknown",IF(Z91="Dedicated","Dedicated (model n/a)","Integrated")))</f>
        <v>RTX 5060</v>
      </c>
      <c r="AB91" s="37" t="str">
        <f aca="false">IF(ISNUMBER(G91),INDEX(Params!$E$5:$E$9,MATCH(G91,Params!$D$5:$D$9,1)),"Unknown")</f>
        <v>400 M +</v>
      </c>
      <c r="AC91" s="45" t="n">
        <f aca="false">IF(AND(ISNUMBER(G91),ISNUMBER(Q91)),IF(Q91&gt;0,G91/Q91,""),"")</f>
        <v>27.5</v>
      </c>
      <c r="AD91" s="39" t="n">
        <f aca="false">IF(OR(p_excl=0,ISNUMBER(SEARCH("لپ",B91))),1,0)</f>
        <v>1</v>
      </c>
      <c r="AE91" s="39" t="n">
        <f aca="false">IF(AND(AD91=1,OR(fBrand="All",D91=fBrand),OR(fCPU="All",O91=fCPU),OR(fGPU="All",Z91=fGPU),OR(fTier="All",AB91=fTier),OR(fRAM="All",R91=fRAM)),1,0)</f>
        <v>1</v>
      </c>
      <c r="AF91" s="39" t="n">
        <f aca="false">IF(AND(AE91=1,ISNUMBER(G91)),1,0)</f>
        <v>1</v>
      </c>
      <c r="AG91" s="39" t="n">
        <f aca="false">IF(AND(AE91=1,L91&gt;0),1,0)</f>
        <v>1</v>
      </c>
      <c r="AH91" s="40" t="n">
        <f aca="false">IF(AF91=1,G91,"")</f>
        <v>440</v>
      </c>
      <c r="AI91" s="39" t="str">
        <f aca="false">IF(COUNTIF($D$2:D91,D91)=1,MAX($AI$1:AI90)+1,"")</f>
        <v/>
      </c>
      <c r="AJ91" s="39" t="str">
        <f aca="false">IF(COUNTIF($P$2:P91,P91)=1,MAX($AJ$1:AJ90)+1,"")</f>
        <v/>
      </c>
      <c r="AK91" s="47" t="n">
        <f aca="false">IF(AG91=1,M91+ROW()/1000000000,"")</f>
        <v>4.43461547561539</v>
      </c>
      <c r="AL91" s="47" t="str">
        <f aca="false">IF(AND(AE91=1,I91&gt;0),I91+ROW()/1000000000,"")</f>
        <v/>
      </c>
      <c r="AM91" s="39" t="n">
        <f aca="false">IF(AND(AF91=1,ISNUMBER(W91),Z91="Dedicated"),1,0)</f>
        <v>1</v>
      </c>
      <c r="AN91" s="39" t="n">
        <f aca="false">SUM($AM$2:AM91)</f>
        <v>28</v>
      </c>
      <c r="AO91" s="39" t="n">
        <f aca="false">IF(AND(AF91=1,ISNUMBER(W91),Z91&lt;&gt;"Dedicated"),1,0)</f>
        <v>0</v>
      </c>
      <c r="AP91" s="39" t="n">
        <f aca="false">SUM($AO$2:AO91)</f>
        <v>55</v>
      </c>
      <c r="AQ91" s="39" t="n">
        <f aca="false">IF(AND(AF91=1,AG91=1),1,0)</f>
        <v>1</v>
      </c>
      <c r="AR91" s="39" t="n">
        <f aca="false">SUM($AQ$2:AQ91)</f>
        <v>89</v>
      </c>
      <c r="AS91" s="45" t="n">
        <f aca="false">IF(AQ91=1,G91,0)</f>
        <v>440</v>
      </c>
      <c r="AT91" s="45" t="n">
        <f aca="false">IF(AQ91=1,K91,0)</f>
        <v>4.3</v>
      </c>
      <c r="AU91" s="37" t="str">
        <f aca="false">TRIM(IF(Raw!N91="","weight missing; ","")&amp;IF(Raw!K91="","storage missing; ","")&amp;IF(ISNUMBER(FIND(" و ",Raw!K91)),"dual storage - SSD part used; ","")&amp;IF(ISNUMBER(SEARCH("TB",Raw!K91)),"storage written as TB; ","")&amp;IF(Raw!I91="","cpu missing; ","")&amp;IF(Raw!M91="","gpu missing; ","")&amp;IF(Raw!J91="","ram missing; ","")&amp;IF(Raw!L91="","screen missing; ",""))</f>
        <v/>
      </c>
    </row>
    <row r="92" customFormat="false" ht="15" hidden="false" customHeight="false" outlineLevel="0" collapsed="false">
      <c r="A92" s="39" t="n">
        <f aca="false">Raw!A92</f>
        <v>271345</v>
      </c>
      <c r="B92" s="37" t="str">
        <f aca="false">Raw!B92</f>
        <v>لپ تاپ ایسوس 15.6 اینچی مدل ExpertBook P1503CVA i7 13620H 32GB 512GB IPS</v>
      </c>
      <c r="C92" s="37" t="str">
        <f aca="false">LOWER(TRIM(Raw!C92))</f>
        <v>asus</v>
      </c>
      <c r="D92" s="37" t="str">
        <f aca="false">IFERROR(INDEX(Params!$B$5:$B$13,MATCH(C92,Params!$A$5:$A$13,0)),PROPER(C92))</f>
        <v>ASUS</v>
      </c>
      <c r="E92" s="37" t="str">
        <f aca="false">IF(Raw!F92,"Available","Out of stock")</f>
        <v>Available</v>
      </c>
      <c r="F92" s="43" t="n">
        <f aca="false">IF(Raw!D92="","",Raw!D92)</f>
        <v>324200000</v>
      </c>
      <c r="G92" s="40" t="n">
        <f aca="false">IF(ISNUMBER(F92),F92/1000000,"")</f>
        <v>324.2</v>
      </c>
      <c r="H92" s="43" t="str">
        <f aca="false">IF(Raw!E92="","",Raw!E92)</f>
        <v/>
      </c>
      <c r="I92" s="42" t="n">
        <f aca="false">IF(AND(ISNUMBER(H92),ISNUMBER(F92)),IF(H92&gt;F92,(H92-F92)/H92,0),0)</f>
        <v>0</v>
      </c>
      <c r="J92" s="39" t="n">
        <f aca="false">IF(I92&gt;0,1,0)</f>
        <v>0</v>
      </c>
      <c r="K92" s="45" t="n">
        <f aca="false">Raw!G92</f>
        <v>5</v>
      </c>
      <c r="L92" s="39" t="n">
        <f aca="false">Raw!H92</f>
        <v>1</v>
      </c>
      <c r="M92" s="41" t="n">
        <f aca="false">IF(L92&gt;0,(L92*K92+p_m*p_c)/(L92+p_m),"")</f>
        <v>4.52272727272727</v>
      </c>
      <c r="N92" s="37" t="str">
        <f aca="false">IF(Raw!I92="","",TRIM(Raw!I92))</f>
        <v>Core i7 13620H</v>
      </c>
      <c r="O92" s="37" t="str">
        <f aca="false">IF(N92="","Unknown",IF(LEFT(N92,5)="Apple","Apple",IF(LEFT(N92,5)="Ryzen","AMD","Intel")))</f>
        <v>Intel</v>
      </c>
      <c r="P92" s="37" t="str">
        <f aca="false">IF(N92="","Unknown",IF(LEFT(N92,5)="Apple","Apple Silicon",IF(LEFT(N92,8)="Ryzen AI","Ryzen AI",TRIM(LEFT(N92,7)))))</f>
        <v>Core i7</v>
      </c>
      <c r="Q92" s="39" t="n">
        <f aca="false">IFERROR(VALUE(LEFT(Raw!J92,FIND(" ",Raw!J92)-1)),"")</f>
        <v>32</v>
      </c>
      <c r="R92" s="37" t="str">
        <f aca="false">IF(NOT(ISNUMBER(Q92)),"Unknown",IF(Q92&lt;=8,"≤ 8 GB",IF(Q92&lt;=16,"12–16 GB","20 GB +")))</f>
        <v>20 GB +</v>
      </c>
      <c r="S92" s="37" t="str">
        <f aca="false">IF(Raw!K92="","",IF(ISNUMBER(FIND(" و ",Raw!K92)),TRIM(MID(Raw!K92,FIND(" و ",Raw!K92)+3,100)),TRIM(Raw!K92)))</f>
        <v>512 گیگابایت</v>
      </c>
      <c r="T92" s="43" t="n">
        <f aca="false">IF(S92="","",IFERROR(IFERROR(VALUE(LEFT(S92,FIND(" ",S92)-1)),VALUE(LEFT(S92,LEN(S92)-2)))*IF(OR(ISNUMBER(SEARCH("ترابایت",S92)),ISNUMBER(SEARCH("TB",S92))),1024,1),""))</f>
        <v>512</v>
      </c>
      <c r="U92" s="37" t="str">
        <f aca="false">IF(NOT(ISNUMBER(T92)),"Unknown",IF(T92&lt;=256,"≤ 256 GB",IF(T92&lt;=512,"512 GB","1 TB +")))</f>
        <v>512 GB</v>
      </c>
      <c r="V92" s="45" t="n">
        <f aca="false">IFERROR(VALUE(SUBSTITUTE(LEFT(Raw!L92,FIND(" ",Raw!L92)-1),".",MID(1/2,2,1))),"")</f>
        <v>15.6</v>
      </c>
      <c r="W92" s="41" t="n">
        <f aca="false">IFERROR(VALUE(SUBSTITUTE(LEFT(Raw!N92,FIND(" ",Raw!N92)-1),".",MID(1/2,2,1))),"")</f>
        <v>1.63</v>
      </c>
      <c r="X92" s="37" t="str">
        <f aca="false">IF(Raw!M92="","",TRIM(Raw!M92))</f>
        <v>Intel Intel Iris Xe</v>
      </c>
      <c r="Y92" s="37" t="str">
        <f aca="false">IF(X92="","Unknown",IF(ISNUMBER(SEARCH("nvidia",X92)),"NVIDIA",IF(ISNUMBER(SEARCH("amd",X92)),"AMD",IF(ISNUMBER(SEARCH("apple",X92)),"Apple",IF(ISNUMBER(SEARCH("intel",X92)),"Intel","Other")))))</f>
        <v>Intel</v>
      </c>
      <c r="Z92" s="37" t="str">
        <f aca="false">IF(X92="","Unknown",IF(ISNUMBER(SEARCH("RTX",X92))+ISNUMBER(SEARCH("GTX",X92))+ISNUMBER(SEARCH("nvidia",X92))+ISNUMBER(SEARCH("Radeon RX",X92))&gt;0,"Dedicated","Integrated"))</f>
        <v>Integrated</v>
      </c>
      <c r="AA92" s="37" t="str">
        <f aca="false">IF(ISNUMBER(SEARCH("RTX",X92)),TRIM(MID(X92,SEARCH("RTX",X92),8)),IF(X92="","Unknown",IF(Z92="Dedicated","Dedicated (model n/a)","Integrated")))</f>
        <v>Integrated</v>
      </c>
      <c r="AB92" s="37" t="str">
        <f aca="false">IF(ISNUMBER(G92),INDEX(Params!$E$5:$E$9,MATCH(G92,Params!$D$5:$D$9,1)),"Unknown")</f>
        <v>300–400 M</v>
      </c>
      <c r="AC92" s="45" t="n">
        <f aca="false">IF(AND(ISNUMBER(G92),ISNUMBER(Q92)),IF(Q92&gt;0,G92/Q92,""),"")</f>
        <v>10.13125</v>
      </c>
      <c r="AD92" s="39" t="n">
        <f aca="false">IF(OR(p_excl=0,ISNUMBER(SEARCH("لپ",B92))),1,0)</f>
        <v>1</v>
      </c>
      <c r="AE92" s="39" t="n">
        <f aca="false">IF(AND(AD92=1,OR(fBrand="All",D92=fBrand),OR(fCPU="All",O92=fCPU),OR(fGPU="All",Z92=fGPU),OR(fTier="All",AB92=fTier),OR(fRAM="All",R92=fRAM)),1,0)</f>
        <v>1</v>
      </c>
      <c r="AF92" s="39" t="n">
        <f aca="false">IF(AND(AE92=1,ISNUMBER(G92)),1,0)</f>
        <v>1</v>
      </c>
      <c r="AG92" s="39" t="n">
        <f aca="false">IF(AND(AE92=1,L92&gt;0),1,0)</f>
        <v>1</v>
      </c>
      <c r="AH92" s="40" t="n">
        <f aca="false">IF(AF92=1,G92,"")</f>
        <v>324.2</v>
      </c>
      <c r="AI92" s="39" t="str">
        <f aca="false">IF(COUNTIF($D$2:D92,D92)=1,MAX($AI$1:AI91)+1,"")</f>
        <v/>
      </c>
      <c r="AJ92" s="39" t="str">
        <f aca="false">IF(COUNTIF($P$2:P92,P92)=1,MAX($AJ$1:AJ91)+1,"")</f>
        <v/>
      </c>
      <c r="AK92" s="47" t="n">
        <f aca="false">IF(AG92=1,M92+ROW()/1000000000,"")</f>
        <v>4.52272736472727</v>
      </c>
      <c r="AL92" s="47" t="str">
        <f aca="false">IF(AND(AE92=1,I92&gt;0),I92+ROW()/1000000000,"")</f>
        <v/>
      </c>
      <c r="AM92" s="39" t="n">
        <f aca="false">IF(AND(AF92=1,ISNUMBER(W92),Z92="Dedicated"),1,0)</f>
        <v>0</v>
      </c>
      <c r="AN92" s="39" t="n">
        <f aca="false">SUM($AM$2:AM92)</f>
        <v>28</v>
      </c>
      <c r="AO92" s="39" t="n">
        <f aca="false">IF(AND(AF92=1,ISNUMBER(W92),Z92&lt;&gt;"Dedicated"),1,0)</f>
        <v>1</v>
      </c>
      <c r="AP92" s="39" t="n">
        <f aca="false">SUM($AO$2:AO92)</f>
        <v>56</v>
      </c>
      <c r="AQ92" s="39" t="n">
        <f aca="false">IF(AND(AF92=1,AG92=1),1,0)</f>
        <v>1</v>
      </c>
      <c r="AR92" s="39" t="n">
        <f aca="false">SUM($AQ$2:AQ92)</f>
        <v>90</v>
      </c>
      <c r="AS92" s="45" t="n">
        <f aca="false">IF(AQ92=1,G92,0)</f>
        <v>324.2</v>
      </c>
      <c r="AT92" s="45" t="n">
        <f aca="false">IF(AQ92=1,K92,0)</f>
        <v>5</v>
      </c>
      <c r="AU92" s="37" t="str">
        <f aca="false">TRIM(IF(Raw!N92="","weight missing; ","")&amp;IF(Raw!K92="","storage missing; ","")&amp;IF(ISNUMBER(FIND(" و ",Raw!K92)),"dual storage - SSD part used; ","")&amp;IF(ISNUMBER(SEARCH("TB",Raw!K92)),"storage written as TB; ","")&amp;IF(Raw!I92="","cpu missing; ","")&amp;IF(Raw!M92="","gpu missing; ","")&amp;IF(Raw!J92="","ram missing; ","")&amp;IF(Raw!L92="","screen missing; ",""))</f>
        <v/>
      </c>
    </row>
    <row r="93" customFormat="false" ht="15" hidden="false" customHeight="false" outlineLevel="0" collapsed="false">
      <c r="A93" s="39" t="n">
        <f aca="false">Raw!A93</f>
        <v>208990</v>
      </c>
      <c r="B93" s="37" t="str">
        <f aca="false">Raw!B93</f>
        <v>لپ تاپ اچ پی 16 اینچی مدل OmniBook X Flip 16-as0023dx Ultra 7 256V 16GB 1TB</v>
      </c>
      <c r="C93" s="37" t="str">
        <f aca="false">LOWER(TRIM(Raw!C93))</f>
        <v>hp</v>
      </c>
      <c r="D93" s="37" t="str">
        <f aca="false">IFERROR(INDEX(Params!$B$5:$B$13,MATCH(C93,Params!$A$5:$A$13,0)),PROPER(C93))</f>
        <v>HP</v>
      </c>
      <c r="E93" s="37" t="str">
        <f aca="false">IF(Raw!F93,"Available","Out of stock")</f>
        <v>Available</v>
      </c>
      <c r="F93" s="43" t="n">
        <f aca="false">IF(Raw!D93="","",Raw!D93)</f>
        <v>272500000</v>
      </c>
      <c r="G93" s="40" t="n">
        <f aca="false">IF(ISNUMBER(F93),F93/1000000,"")</f>
        <v>272.5</v>
      </c>
      <c r="H93" s="43" t="str">
        <f aca="false">IF(Raw!E93="","",Raw!E93)</f>
        <v/>
      </c>
      <c r="I93" s="42" t="n">
        <f aca="false">IF(AND(ISNUMBER(H93),ISNUMBER(F93)),IF(H93&gt;F93,(H93-F93)/H93,0),0)</f>
        <v>0</v>
      </c>
      <c r="J93" s="39" t="n">
        <f aca="false">IF(I93&gt;0,1,0)</f>
        <v>0</v>
      </c>
      <c r="K93" s="45" t="n">
        <f aca="false">Raw!G93</f>
        <v>5</v>
      </c>
      <c r="L93" s="39" t="n">
        <f aca="false">Raw!H93</f>
        <v>1</v>
      </c>
      <c r="M93" s="41" t="n">
        <f aca="false">IF(L93&gt;0,(L93*K93+p_m*p_c)/(L93+p_m),"")</f>
        <v>4.52272727272727</v>
      </c>
      <c r="N93" s="37" t="str">
        <f aca="false">IF(Raw!I93="","",TRIM(Raw!I93))</f>
        <v>Ultra 7 256V</v>
      </c>
      <c r="O93" s="37" t="str">
        <f aca="false">IF(N93="","Unknown",IF(LEFT(N93,5)="Apple","Apple",IF(LEFT(N93,5)="Ryzen","AMD","Intel")))</f>
        <v>Intel</v>
      </c>
      <c r="P93" s="37" t="str">
        <f aca="false">IF(N93="","Unknown",IF(LEFT(N93,5)="Apple","Apple Silicon",IF(LEFT(N93,8)="Ryzen AI","Ryzen AI",TRIM(LEFT(N93,7)))))</f>
        <v>Ultra 7</v>
      </c>
      <c r="Q93" s="39" t="n">
        <f aca="false">IFERROR(VALUE(LEFT(Raw!J93,FIND(" ",Raw!J93)-1)),"")</f>
        <v>16</v>
      </c>
      <c r="R93" s="37" t="str">
        <f aca="false">IF(NOT(ISNUMBER(Q93)),"Unknown",IF(Q93&lt;=8,"≤ 8 GB",IF(Q93&lt;=16,"12–16 GB","20 GB +")))</f>
        <v>12–16 GB</v>
      </c>
      <c r="S93" s="37" t="str">
        <f aca="false">IF(Raw!K93="","",IF(ISNUMBER(FIND(" و ",Raw!K93)),TRIM(MID(Raw!K93,FIND(" و ",Raw!K93)+3,100)),TRIM(Raw!K93)))</f>
        <v>1 ترابایت</v>
      </c>
      <c r="T93" s="43" t="n">
        <f aca="false">IF(S93="","",IFERROR(IFERROR(VALUE(LEFT(S93,FIND(" ",S93)-1)),VALUE(LEFT(S93,LEN(S93)-2)))*IF(OR(ISNUMBER(SEARCH("ترابایت",S93)),ISNUMBER(SEARCH("TB",S93))),1024,1),""))</f>
        <v>1024</v>
      </c>
      <c r="U93" s="37" t="str">
        <f aca="false">IF(NOT(ISNUMBER(T93)),"Unknown",IF(T93&lt;=256,"≤ 256 GB",IF(T93&lt;=512,"512 GB","1 TB +")))</f>
        <v>1 TB +</v>
      </c>
      <c r="V93" s="45" t="n">
        <f aca="false">IFERROR(VALUE(SUBSTITUTE(LEFT(Raw!L93,FIND(" ",Raw!L93)-1),".",MID(1/2,2,1))),"")</f>
        <v>16</v>
      </c>
      <c r="W93" s="41" t="n">
        <f aca="false">IFERROR(VALUE(SUBSTITUTE(LEFT(Raw!N93,FIND(" ",Raw!N93)-1),".",MID(1/2,2,1))),"")</f>
        <v>1.9</v>
      </c>
      <c r="X93" s="37" t="str">
        <f aca="false">IF(Raw!M93="","",TRIM(Raw!M93))</f>
        <v>Intel Arc Graphics</v>
      </c>
      <c r="Y93" s="37" t="str">
        <f aca="false">IF(X93="","Unknown",IF(ISNUMBER(SEARCH("nvidia",X93)),"NVIDIA",IF(ISNUMBER(SEARCH("amd",X93)),"AMD",IF(ISNUMBER(SEARCH("apple",X93)),"Apple",IF(ISNUMBER(SEARCH("intel",X93)),"Intel","Other")))))</f>
        <v>Intel</v>
      </c>
      <c r="Z93" s="37" t="str">
        <f aca="false">IF(X93="","Unknown",IF(ISNUMBER(SEARCH("RTX",X93))+ISNUMBER(SEARCH("GTX",X93))+ISNUMBER(SEARCH("nvidia",X93))+ISNUMBER(SEARCH("Radeon RX",X93))&gt;0,"Dedicated","Integrated"))</f>
        <v>Integrated</v>
      </c>
      <c r="AA93" s="37" t="str">
        <f aca="false">IF(ISNUMBER(SEARCH("RTX",X93)),TRIM(MID(X93,SEARCH("RTX",X93),8)),IF(X93="","Unknown",IF(Z93="Dedicated","Dedicated (model n/a)","Integrated")))</f>
        <v>Integrated</v>
      </c>
      <c r="AB93" s="37" t="str">
        <f aca="false">IF(ISNUMBER(G93),INDEX(Params!$E$5:$E$9,MATCH(G93,Params!$D$5:$D$9,1)),"Unknown")</f>
        <v>200–300 M</v>
      </c>
      <c r="AC93" s="45" t="n">
        <f aca="false">IF(AND(ISNUMBER(G93),ISNUMBER(Q93)),IF(Q93&gt;0,G93/Q93,""),"")</f>
        <v>17.03125</v>
      </c>
      <c r="AD93" s="39" t="n">
        <f aca="false">IF(OR(p_excl=0,ISNUMBER(SEARCH("لپ",B93))),1,0)</f>
        <v>1</v>
      </c>
      <c r="AE93" s="39" t="n">
        <f aca="false">IF(AND(AD93=1,OR(fBrand="All",D93=fBrand),OR(fCPU="All",O93=fCPU),OR(fGPU="All",Z93=fGPU),OR(fTier="All",AB93=fTier),OR(fRAM="All",R93=fRAM)),1,0)</f>
        <v>1</v>
      </c>
      <c r="AF93" s="39" t="n">
        <f aca="false">IF(AND(AE93=1,ISNUMBER(G93)),1,0)</f>
        <v>1</v>
      </c>
      <c r="AG93" s="39" t="n">
        <f aca="false">IF(AND(AE93=1,L93&gt;0),1,0)</f>
        <v>1</v>
      </c>
      <c r="AH93" s="40" t="n">
        <f aca="false">IF(AF93=1,G93,"")</f>
        <v>272.5</v>
      </c>
      <c r="AI93" s="39" t="str">
        <f aca="false">IF(COUNTIF($D$2:D93,D93)=1,MAX($AI$1:AI92)+1,"")</f>
        <v/>
      </c>
      <c r="AJ93" s="39" t="n">
        <f aca="false">IF(COUNTIF($P$2:P93,P93)=1,MAX($AJ$1:AJ92)+1,"")</f>
        <v>16</v>
      </c>
      <c r="AK93" s="47" t="n">
        <f aca="false">IF(AG93=1,M93+ROW()/1000000000,"")</f>
        <v>4.52272736572727</v>
      </c>
      <c r="AL93" s="47" t="str">
        <f aca="false">IF(AND(AE93=1,I93&gt;0),I93+ROW()/1000000000,"")</f>
        <v/>
      </c>
      <c r="AM93" s="39" t="n">
        <f aca="false">IF(AND(AF93=1,ISNUMBER(W93),Z93="Dedicated"),1,0)</f>
        <v>0</v>
      </c>
      <c r="AN93" s="39" t="n">
        <f aca="false">SUM($AM$2:AM93)</f>
        <v>28</v>
      </c>
      <c r="AO93" s="39" t="n">
        <f aca="false">IF(AND(AF93=1,ISNUMBER(W93),Z93&lt;&gt;"Dedicated"),1,0)</f>
        <v>1</v>
      </c>
      <c r="AP93" s="39" t="n">
        <f aca="false">SUM($AO$2:AO93)</f>
        <v>57</v>
      </c>
      <c r="AQ93" s="39" t="n">
        <f aca="false">IF(AND(AF93=1,AG93=1),1,0)</f>
        <v>1</v>
      </c>
      <c r="AR93" s="39" t="n">
        <f aca="false">SUM($AQ$2:AQ93)</f>
        <v>91</v>
      </c>
      <c r="AS93" s="45" t="n">
        <f aca="false">IF(AQ93=1,G93,0)</f>
        <v>272.5</v>
      </c>
      <c r="AT93" s="45" t="n">
        <f aca="false">IF(AQ93=1,K93,0)</f>
        <v>5</v>
      </c>
      <c r="AU93" s="37" t="str">
        <f aca="false">TRIM(IF(Raw!N93="","weight missing; ","")&amp;IF(Raw!K93="","storage missing; ","")&amp;IF(ISNUMBER(FIND(" و ",Raw!K93)),"dual storage - SSD part used; ","")&amp;IF(ISNUMBER(SEARCH("TB",Raw!K93)),"storage written as TB; ","")&amp;IF(Raw!I93="","cpu missing; ","")&amp;IF(Raw!M93="","gpu missing; ","")&amp;IF(Raw!J93="","ram missing; ","")&amp;IF(Raw!L93="","screen missing; ",""))</f>
        <v/>
      </c>
    </row>
    <row r="94" customFormat="false" ht="15" hidden="false" customHeight="false" outlineLevel="0" collapsed="false">
      <c r="A94" s="39" t="n">
        <f aca="false">Raw!A94</f>
        <v>174317</v>
      </c>
      <c r="B94" s="37" t="str">
        <f aca="false">Raw!B94</f>
        <v>لپ تاپ ایسوس 16 اینچی مدل ROG Strix G16 G615JMR i7 14650HX 32GB 1TB RTX 5060</v>
      </c>
      <c r="C94" s="37" t="str">
        <f aca="false">LOWER(TRIM(Raw!C94))</f>
        <v>asus</v>
      </c>
      <c r="D94" s="37" t="str">
        <f aca="false">IFERROR(INDEX(Params!$B$5:$B$13,MATCH(C94,Params!$A$5:$A$13,0)),PROPER(C94))</f>
        <v>ASUS</v>
      </c>
      <c r="E94" s="37" t="str">
        <f aca="false">IF(Raw!F94,"Available","Out of stock")</f>
        <v>Available</v>
      </c>
      <c r="F94" s="43" t="n">
        <f aca="false">IF(Raw!D94="","",Raw!D94)</f>
        <v>549500000</v>
      </c>
      <c r="G94" s="40" t="n">
        <f aca="false">IF(ISNUMBER(F94),F94/1000000,"")</f>
        <v>549.5</v>
      </c>
      <c r="H94" s="43" t="str">
        <f aca="false">IF(Raw!E94="","",Raw!E94)</f>
        <v/>
      </c>
      <c r="I94" s="42" t="n">
        <f aca="false">IF(AND(ISNUMBER(H94),ISNUMBER(F94)),IF(H94&gt;F94,(H94-F94)/H94,0),0)</f>
        <v>0</v>
      </c>
      <c r="J94" s="39" t="n">
        <f aca="false">IF(I94&gt;0,1,0)</f>
        <v>0</v>
      </c>
      <c r="K94" s="45" t="n">
        <f aca="false">Raw!G94</f>
        <v>5</v>
      </c>
      <c r="L94" s="39" t="n">
        <f aca="false">Raw!H94</f>
        <v>1</v>
      </c>
      <c r="M94" s="41" t="n">
        <f aca="false">IF(L94&gt;0,(L94*K94+p_m*p_c)/(L94+p_m),"")</f>
        <v>4.52272727272727</v>
      </c>
      <c r="N94" s="37" t="str">
        <f aca="false">IF(Raw!I94="","",TRIM(Raw!I94))</f>
        <v>Core i7 14650HX</v>
      </c>
      <c r="O94" s="37" t="str">
        <f aca="false">IF(N94="","Unknown",IF(LEFT(N94,5)="Apple","Apple",IF(LEFT(N94,5)="Ryzen","AMD","Intel")))</f>
        <v>Intel</v>
      </c>
      <c r="P94" s="37" t="str">
        <f aca="false">IF(N94="","Unknown",IF(LEFT(N94,5)="Apple","Apple Silicon",IF(LEFT(N94,8)="Ryzen AI","Ryzen AI",TRIM(LEFT(N94,7)))))</f>
        <v>Core i7</v>
      </c>
      <c r="Q94" s="39" t="n">
        <f aca="false">IFERROR(VALUE(LEFT(Raw!J94,FIND(" ",Raw!J94)-1)),"")</f>
        <v>32</v>
      </c>
      <c r="R94" s="37" t="str">
        <f aca="false">IF(NOT(ISNUMBER(Q94)),"Unknown",IF(Q94&lt;=8,"≤ 8 GB",IF(Q94&lt;=16,"12–16 GB","20 GB +")))</f>
        <v>20 GB +</v>
      </c>
      <c r="S94" s="37" t="str">
        <f aca="false">IF(Raw!K94="","",IF(ISNUMBER(FIND(" و ",Raw!K94)),TRIM(MID(Raw!K94,FIND(" و ",Raw!K94)+3,100)),TRIM(Raw!K94)))</f>
        <v>1 ترابایت</v>
      </c>
      <c r="T94" s="43" t="n">
        <f aca="false">IF(S94="","",IFERROR(IFERROR(VALUE(LEFT(S94,FIND(" ",S94)-1)),VALUE(LEFT(S94,LEN(S94)-2)))*IF(OR(ISNUMBER(SEARCH("ترابایت",S94)),ISNUMBER(SEARCH("TB",S94))),1024,1),""))</f>
        <v>1024</v>
      </c>
      <c r="U94" s="37" t="str">
        <f aca="false">IF(NOT(ISNUMBER(T94)),"Unknown",IF(T94&lt;=256,"≤ 256 GB",IF(T94&lt;=512,"512 GB","1 TB +")))</f>
        <v>1 TB +</v>
      </c>
      <c r="V94" s="45" t="n">
        <f aca="false">IFERROR(VALUE(SUBSTITUTE(LEFT(Raw!L94,FIND(" ",Raw!L94)-1),".",MID(1/2,2,1))),"")</f>
        <v>16</v>
      </c>
      <c r="W94" s="41" t="n">
        <f aca="false">IFERROR(VALUE(SUBSTITUTE(LEFT(Raw!N94,FIND(" ",Raw!N94)-1),".",MID(1/2,2,1))),"")</f>
        <v>2.65</v>
      </c>
      <c r="X94" s="37" t="str">
        <f aca="false">IF(Raw!M94="","",TRIM(Raw!M94))</f>
        <v>NVIDIA GeForce RTX 5060</v>
      </c>
      <c r="Y94" s="37" t="str">
        <f aca="false">IF(X94="","Unknown",IF(ISNUMBER(SEARCH("nvidia",X94)),"NVIDIA",IF(ISNUMBER(SEARCH("amd",X94)),"AMD",IF(ISNUMBER(SEARCH("apple",X94)),"Apple",IF(ISNUMBER(SEARCH("intel",X94)),"Intel","Other")))))</f>
        <v>NVIDIA</v>
      </c>
      <c r="Z94" s="37" t="str">
        <f aca="false">IF(X94="","Unknown",IF(ISNUMBER(SEARCH("RTX",X94))+ISNUMBER(SEARCH("GTX",X94))+ISNUMBER(SEARCH("nvidia",X94))+ISNUMBER(SEARCH("Radeon RX",X94))&gt;0,"Dedicated","Integrated"))</f>
        <v>Dedicated</v>
      </c>
      <c r="AA94" s="37" t="str">
        <f aca="false">IF(ISNUMBER(SEARCH("RTX",X94)),TRIM(MID(X94,SEARCH("RTX",X94),8)),IF(X94="","Unknown",IF(Z94="Dedicated","Dedicated (model n/a)","Integrated")))</f>
        <v>RTX 5060</v>
      </c>
      <c r="AB94" s="37" t="str">
        <f aca="false">IF(ISNUMBER(G94),INDEX(Params!$E$5:$E$9,MATCH(G94,Params!$D$5:$D$9,1)),"Unknown")</f>
        <v>400 M +</v>
      </c>
      <c r="AC94" s="45" t="n">
        <f aca="false">IF(AND(ISNUMBER(G94),ISNUMBER(Q94)),IF(Q94&gt;0,G94/Q94,""),"")</f>
        <v>17.171875</v>
      </c>
      <c r="AD94" s="39" t="n">
        <f aca="false">IF(OR(p_excl=0,ISNUMBER(SEARCH("لپ",B94))),1,0)</f>
        <v>1</v>
      </c>
      <c r="AE94" s="39" t="n">
        <f aca="false">IF(AND(AD94=1,OR(fBrand="All",D94=fBrand),OR(fCPU="All",O94=fCPU),OR(fGPU="All",Z94=fGPU),OR(fTier="All",AB94=fTier),OR(fRAM="All",R94=fRAM)),1,0)</f>
        <v>1</v>
      </c>
      <c r="AF94" s="39" t="n">
        <f aca="false">IF(AND(AE94=1,ISNUMBER(G94)),1,0)</f>
        <v>1</v>
      </c>
      <c r="AG94" s="39" t="n">
        <f aca="false">IF(AND(AE94=1,L94&gt;0),1,0)</f>
        <v>1</v>
      </c>
      <c r="AH94" s="40" t="n">
        <f aca="false">IF(AF94=1,G94,"")</f>
        <v>549.5</v>
      </c>
      <c r="AI94" s="39" t="str">
        <f aca="false">IF(COUNTIF($D$2:D94,D94)=1,MAX($AI$1:AI93)+1,"")</f>
        <v/>
      </c>
      <c r="AJ94" s="39" t="str">
        <f aca="false">IF(COUNTIF($P$2:P94,P94)=1,MAX($AJ$1:AJ93)+1,"")</f>
        <v/>
      </c>
      <c r="AK94" s="47" t="n">
        <f aca="false">IF(AG94=1,M94+ROW()/1000000000,"")</f>
        <v>4.52272736672727</v>
      </c>
      <c r="AL94" s="47" t="str">
        <f aca="false">IF(AND(AE94=1,I94&gt;0),I94+ROW()/1000000000,"")</f>
        <v/>
      </c>
      <c r="AM94" s="39" t="n">
        <f aca="false">IF(AND(AF94=1,ISNUMBER(W94),Z94="Dedicated"),1,0)</f>
        <v>1</v>
      </c>
      <c r="AN94" s="39" t="n">
        <f aca="false">SUM($AM$2:AM94)</f>
        <v>29</v>
      </c>
      <c r="AO94" s="39" t="n">
        <f aca="false">IF(AND(AF94=1,ISNUMBER(W94),Z94&lt;&gt;"Dedicated"),1,0)</f>
        <v>0</v>
      </c>
      <c r="AP94" s="39" t="n">
        <f aca="false">SUM($AO$2:AO94)</f>
        <v>57</v>
      </c>
      <c r="AQ94" s="39" t="n">
        <f aca="false">IF(AND(AF94=1,AG94=1),1,0)</f>
        <v>1</v>
      </c>
      <c r="AR94" s="39" t="n">
        <f aca="false">SUM($AQ$2:AQ94)</f>
        <v>92</v>
      </c>
      <c r="AS94" s="45" t="n">
        <f aca="false">IF(AQ94=1,G94,0)</f>
        <v>549.5</v>
      </c>
      <c r="AT94" s="45" t="n">
        <f aca="false">IF(AQ94=1,K94,0)</f>
        <v>5</v>
      </c>
      <c r="AU94" s="37" t="str">
        <f aca="false">TRIM(IF(Raw!N94="","weight missing; ","")&amp;IF(Raw!K94="","storage missing; ","")&amp;IF(ISNUMBER(FIND(" و ",Raw!K94)),"dual storage - SSD part used; ","")&amp;IF(ISNUMBER(SEARCH("TB",Raw!K94)),"storage written as TB; ","")&amp;IF(Raw!I94="","cpu missing; ","")&amp;IF(Raw!M94="","gpu missing; ","")&amp;IF(Raw!J94="","ram missing; ","")&amp;IF(Raw!L94="","screen missing; ",""))</f>
        <v/>
      </c>
    </row>
    <row r="95" customFormat="false" ht="15" hidden="false" customHeight="false" outlineLevel="0" collapsed="false">
      <c r="A95" s="39" t="n">
        <f aca="false">Raw!A95</f>
        <v>168240</v>
      </c>
      <c r="B95" s="37" t="str">
        <f aca="false">Raw!B95</f>
        <v>لپ تاپ لنوو 15.6 اینچی مدل LOQ i7 14700HX 32GB 1TB RTX 5060</v>
      </c>
      <c r="C95" s="37" t="str">
        <f aca="false">LOWER(TRIM(Raw!C95))</f>
        <v>lenovo</v>
      </c>
      <c r="D95" s="37" t="str">
        <f aca="false">IFERROR(INDEX(Params!$B$5:$B$13,MATCH(C95,Params!$A$5:$A$13,0)),PROPER(C95))</f>
        <v>Lenovo</v>
      </c>
      <c r="E95" s="37" t="str">
        <f aca="false">IF(Raw!F95,"Available","Out of stock")</f>
        <v>Available</v>
      </c>
      <c r="F95" s="43" t="n">
        <f aca="false">IF(Raw!D95="","",Raw!D95)</f>
        <v>479500000</v>
      </c>
      <c r="G95" s="40" t="n">
        <f aca="false">IF(ISNUMBER(F95),F95/1000000,"")</f>
        <v>479.5</v>
      </c>
      <c r="H95" s="43" t="str">
        <f aca="false">IF(Raw!E95="","",Raw!E95)</f>
        <v/>
      </c>
      <c r="I95" s="42" t="n">
        <f aca="false">IF(AND(ISNUMBER(H95),ISNUMBER(F95)),IF(H95&gt;F95,(H95-F95)/H95,0),0)</f>
        <v>0</v>
      </c>
      <c r="J95" s="39" t="n">
        <f aca="false">IF(I95&gt;0,1,0)</f>
        <v>0</v>
      </c>
      <c r="K95" s="45" t="n">
        <f aca="false">Raw!G95</f>
        <v>5</v>
      </c>
      <c r="L95" s="39" t="n">
        <f aca="false">Raw!H95</f>
        <v>1</v>
      </c>
      <c r="M95" s="41" t="n">
        <f aca="false">IF(L95&gt;0,(L95*K95+p_m*p_c)/(L95+p_m),"")</f>
        <v>4.52272727272727</v>
      </c>
      <c r="N95" s="37" t="str">
        <f aca="false">IF(Raw!I95="","",TRIM(Raw!I95))</f>
        <v>Core i7 14700HX</v>
      </c>
      <c r="O95" s="37" t="str">
        <f aca="false">IF(N95="","Unknown",IF(LEFT(N95,5)="Apple","Apple",IF(LEFT(N95,5)="Ryzen","AMD","Intel")))</f>
        <v>Intel</v>
      </c>
      <c r="P95" s="37" t="str">
        <f aca="false">IF(N95="","Unknown",IF(LEFT(N95,5)="Apple","Apple Silicon",IF(LEFT(N95,8)="Ryzen AI","Ryzen AI",TRIM(LEFT(N95,7)))))</f>
        <v>Core i7</v>
      </c>
      <c r="Q95" s="39" t="n">
        <f aca="false">IFERROR(VALUE(LEFT(Raw!J95,FIND(" ",Raw!J95)-1)),"")</f>
        <v>32</v>
      </c>
      <c r="R95" s="37" t="str">
        <f aca="false">IF(NOT(ISNUMBER(Q95)),"Unknown",IF(Q95&lt;=8,"≤ 8 GB",IF(Q95&lt;=16,"12–16 GB","20 GB +")))</f>
        <v>20 GB +</v>
      </c>
      <c r="S95" s="37" t="str">
        <f aca="false">IF(Raw!K95="","",IF(ISNUMBER(FIND(" و ",Raw!K95)),TRIM(MID(Raw!K95,FIND(" و ",Raw!K95)+3,100)),TRIM(Raw!K95)))</f>
        <v>1 ترابایت</v>
      </c>
      <c r="T95" s="43" t="n">
        <f aca="false">IF(S95="","",IFERROR(IFERROR(VALUE(LEFT(S95,FIND(" ",S95)-1)),VALUE(LEFT(S95,LEN(S95)-2)))*IF(OR(ISNUMBER(SEARCH("ترابایت",S95)),ISNUMBER(SEARCH("TB",S95))),1024,1),""))</f>
        <v>1024</v>
      </c>
      <c r="U95" s="37" t="str">
        <f aca="false">IF(NOT(ISNUMBER(T95)),"Unknown",IF(T95&lt;=256,"≤ 256 GB",IF(T95&lt;=512,"512 GB","1 TB +")))</f>
        <v>1 TB +</v>
      </c>
      <c r="V95" s="45" t="n">
        <f aca="false">IFERROR(VALUE(SUBSTITUTE(LEFT(Raw!L95,FIND(" ",Raw!L95)-1),".",MID(1/2,2,1))),"")</f>
        <v>15.6</v>
      </c>
      <c r="W95" s="41" t="n">
        <f aca="false">IFERROR(VALUE(SUBSTITUTE(LEFT(Raw!N95,FIND(" ",Raw!N95)-1),".",MID(1/2,2,1))),"")</f>
        <v>2.38</v>
      </c>
      <c r="X95" s="37" t="str">
        <f aca="false">IF(Raw!M95="","",TRIM(Raw!M95))</f>
        <v>NVIDIA GeForce RTX 5060</v>
      </c>
      <c r="Y95" s="37" t="str">
        <f aca="false">IF(X95="","Unknown",IF(ISNUMBER(SEARCH("nvidia",X95)),"NVIDIA",IF(ISNUMBER(SEARCH("amd",X95)),"AMD",IF(ISNUMBER(SEARCH("apple",X95)),"Apple",IF(ISNUMBER(SEARCH("intel",X95)),"Intel","Other")))))</f>
        <v>NVIDIA</v>
      </c>
      <c r="Z95" s="37" t="str">
        <f aca="false">IF(X95="","Unknown",IF(ISNUMBER(SEARCH("RTX",X95))+ISNUMBER(SEARCH("GTX",X95))+ISNUMBER(SEARCH("nvidia",X95))+ISNUMBER(SEARCH("Radeon RX",X95))&gt;0,"Dedicated","Integrated"))</f>
        <v>Dedicated</v>
      </c>
      <c r="AA95" s="37" t="str">
        <f aca="false">IF(ISNUMBER(SEARCH("RTX",X95)),TRIM(MID(X95,SEARCH("RTX",X95),8)),IF(X95="","Unknown",IF(Z95="Dedicated","Dedicated (model n/a)","Integrated")))</f>
        <v>RTX 5060</v>
      </c>
      <c r="AB95" s="37" t="str">
        <f aca="false">IF(ISNUMBER(G95),INDEX(Params!$E$5:$E$9,MATCH(G95,Params!$D$5:$D$9,1)),"Unknown")</f>
        <v>400 M +</v>
      </c>
      <c r="AC95" s="45" t="n">
        <f aca="false">IF(AND(ISNUMBER(G95),ISNUMBER(Q95)),IF(Q95&gt;0,G95/Q95,""),"")</f>
        <v>14.984375</v>
      </c>
      <c r="AD95" s="39" t="n">
        <f aca="false">IF(OR(p_excl=0,ISNUMBER(SEARCH("لپ",B95))),1,0)</f>
        <v>1</v>
      </c>
      <c r="AE95" s="39" t="n">
        <f aca="false">IF(AND(AD95=1,OR(fBrand="All",D95=fBrand),OR(fCPU="All",O95=fCPU),OR(fGPU="All",Z95=fGPU),OR(fTier="All",AB95=fTier),OR(fRAM="All",R95=fRAM)),1,0)</f>
        <v>1</v>
      </c>
      <c r="AF95" s="39" t="n">
        <f aca="false">IF(AND(AE95=1,ISNUMBER(G95)),1,0)</f>
        <v>1</v>
      </c>
      <c r="AG95" s="39" t="n">
        <f aca="false">IF(AND(AE95=1,L95&gt;0),1,0)</f>
        <v>1</v>
      </c>
      <c r="AH95" s="40" t="n">
        <f aca="false">IF(AF95=1,G95,"")</f>
        <v>479.5</v>
      </c>
      <c r="AI95" s="39" t="str">
        <f aca="false">IF(COUNTIF($D$2:D95,D95)=1,MAX($AI$1:AI94)+1,"")</f>
        <v/>
      </c>
      <c r="AJ95" s="39" t="str">
        <f aca="false">IF(COUNTIF($P$2:P95,P95)=1,MAX($AJ$1:AJ94)+1,"")</f>
        <v/>
      </c>
      <c r="AK95" s="47" t="n">
        <f aca="false">IF(AG95=1,M95+ROW()/1000000000,"")</f>
        <v>4.52272736772727</v>
      </c>
      <c r="AL95" s="47" t="str">
        <f aca="false">IF(AND(AE95=1,I95&gt;0),I95+ROW()/1000000000,"")</f>
        <v/>
      </c>
      <c r="AM95" s="39" t="n">
        <f aca="false">IF(AND(AF95=1,ISNUMBER(W95),Z95="Dedicated"),1,0)</f>
        <v>1</v>
      </c>
      <c r="AN95" s="39" t="n">
        <f aca="false">SUM($AM$2:AM95)</f>
        <v>30</v>
      </c>
      <c r="AO95" s="39" t="n">
        <f aca="false">IF(AND(AF95=1,ISNUMBER(W95),Z95&lt;&gt;"Dedicated"),1,0)</f>
        <v>0</v>
      </c>
      <c r="AP95" s="39" t="n">
        <f aca="false">SUM($AO$2:AO95)</f>
        <v>57</v>
      </c>
      <c r="AQ95" s="39" t="n">
        <f aca="false">IF(AND(AF95=1,AG95=1),1,0)</f>
        <v>1</v>
      </c>
      <c r="AR95" s="39" t="n">
        <f aca="false">SUM($AQ$2:AQ95)</f>
        <v>93</v>
      </c>
      <c r="AS95" s="45" t="n">
        <f aca="false">IF(AQ95=1,G95,0)</f>
        <v>479.5</v>
      </c>
      <c r="AT95" s="45" t="n">
        <f aca="false">IF(AQ95=1,K95,0)</f>
        <v>5</v>
      </c>
      <c r="AU95" s="37" t="str">
        <f aca="false">TRIM(IF(Raw!N95="","weight missing; ","")&amp;IF(Raw!K95="","storage missing; ","")&amp;IF(ISNUMBER(FIND(" و ",Raw!K95)),"dual storage - SSD part used; ","")&amp;IF(ISNUMBER(SEARCH("TB",Raw!K95)),"storage written as TB; ","")&amp;IF(Raw!I95="","cpu missing; ","")&amp;IF(Raw!M95="","gpu missing; ","")&amp;IF(Raw!J95="","ram missing; ","")&amp;IF(Raw!L95="","screen missing; ",""))</f>
        <v/>
      </c>
    </row>
    <row r="96" customFormat="false" ht="15" hidden="false" customHeight="false" outlineLevel="0" collapsed="false">
      <c r="A96" s="39" t="n">
        <f aca="false">Raw!A96</f>
        <v>167165</v>
      </c>
      <c r="B96" s="37" t="str">
        <f aca="false">Raw!B96</f>
        <v>لپ تاپ لنوو 15.6 اینچی مدل LOQ i7 14700HX 16GB 1TB RTX 5050</v>
      </c>
      <c r="C96" s="37" t="str">
        <f aca="false">LOWER(TRIM(Raw!C96))</f>
        <v>lenovo</v>
      </c>
      <c r="D96" s="37" t="str">
        <f aca="false">IFERROR(INDEX(Params!$B$5:$B$13,MATCH(C96,Params!$A$5:$A$13,0)),PROPER(C96))</f>
        <v>Lenovo</v>
      </c>
      <c r="E96" s="37" t="str">
        <f aca="false">IF(Raw!F96,"Available","Out of stock")</f>
        <v>Available</v>
      </c>
      <c r="F96" s="43" t="n">
        <f aca="false">IF(Raw!D96="","",Raw!D96)</f>
        <v>393000000</v>
      </c>
      <c r="G96" s="40" t="n">
        <f aca="false">IF(ISNUMBER(F96),F96/1000000,"")</f>
        <v>393</v>
      </c>
      <c r="H96" s="43" t="str">
        <f aca="false">IF(Raw!E96="","",Raw!E96)</f>
        <v/>
      </c>
      <c r="I96" s="42" t="n">
        <f aca="false">IF(AND(ISNUMBER(H96),ISNUMBER(F96)),IF(H96&gt;F96,(H96-F96)/H96,0),0)</f>
        <v>0</v>
      </c>
      <c r="J96" s="39" t="n">
        <f aca="false">IF(I96&gt;0,1,0)</f>
        <v>0</v>
      </c>
      <c r="K96" s="45" t="n">
        <f aca="false">Raw!G96</f>
        <v>5</v>
      </c>
      <c r="L96" s="39" t="n">
        <f aca="false">Raw!H96</f>
        <v>1</v>
      </c>
      <c r="M96" s="41" t="n">
        <f aca="false">IF(L96&gt;0,(L96*K96+p_m*p_c)/(L96+p_m),"")</f>
        <v>4.52272727272727</v>
      </c>
      <c r="N96" s="37" t="str">
        <f aca="false">IF(Raw!I96="","",TRIM(Raw!I96))</f>
        <v>Core i7 14700HX</v>
      </c>
      <c r="O96" s="37" t="str">
        <f aca="false">IF(N96="","Unknown",IF(LEFT(N96,5)="Apple","Apple",IF(LEFT(N96,5)="Ryzen","AMD","Intel")))</f>
        <v>Intel</v>
      </c>
      <c r="P96" s="37" t="str">
        <f aca="false">IF(N96="","Unknown",IF(LEFT(N96,5)="Apple","Apple Silicon",IF(LEFT(N96,8)="Ryzen AI","Ryzen AI",TRIM(LEFT(N96,7)))))</f>
        <v>Core i7</v>
      </c>
      <c r="Q96" s="39" t="n">
        <f aca="false">IFERROR(VALUE(LEFT(Raw!J96,FIND(" ",Raw!J96)-1)),"")</f>
        <v>16</v>
      </c>
      <c r="R96" s="37" t="str">
        <f aca="false">IF(NOT(ISNUMBER(Q96)),"Unknown",IF(Q96&lt;=8,"≤ 8 GB",IF(Q96&lt;=16,"12–16 GB","20 GB +")))</f>
        <v>12–16 GB</v>
      </c>
      <c r="S96" s="37" t="str">
        <f aca="false">IF(Raw!K96="","",IF(ISNUMBER(FIND(" و ",Raw!K96)),TRIM(MID(Raw!K96,FIND(" و ",Raw!K96)+3,100)),TRIM(Raw!K96)))</f>
        <v>1 ترابایت</v>
      </c>
      <c r="T96" s="43" t="n">
        <f aca="false">IF(S96="","",IFERROR(IFERROR(VALUE(LEFT(S96,FIND(" ",S96)-1)),VALUE(LEFT(S96,LEN(S96)-2)))*IF(OR(ISNUMBER(SEARCH("ترابایت",S96)),ISNUMBER(SEARCH("TB",S96))),1024,1),""))</f>
        <v>1024</v>
      </c>
      <c r="U96" s="37" t="str">
        <f aca="false">IF(NOT(ISNUMBER(T96)),"Unknown",IF(T96&lt;=256,"≤ 256 GB",IF(T96&lt;=512,"512 GB","1 TB +")))</f>
        <v>1 TB +</v>
      </c>
      <c r="V96" s="45" t="n">
        <f aca="false">IFERROR(VALUE(SUBSTITUTE(LEFT(Raw!L96,FIND(" ",Raw!L96)-1),".",MID(1/2,2,1))),"")</f>
        <v>15.6</v>
      </c>
      <c r="W96" s="41" t="n">
        <f aca="false">IFERROR(VALUE(SUBSTITUTE(LEFT(Raw!N96,FIND(" ",Raw!N96)-1),".",MID(1/2,2,1))),"")</f>
        <v>2.38</v>
      </c>
      <c r="X96" s="37" t="str">
        <f aca="false">IF(Raw!M96="","",TRIM(Raw!M96))</f>
        <v>NVIDIA GeForce RTX 5050</v>
      </c>
      <c r="Y96" s="37" t="str">
        <f aca="false">IF(X96="","Unknown",IF(ISNUMBER(SEARCH("nvidia",X96)),"NVIDIA",IF(ISNUMBER(SEARCH("amd",X96)),"AMD",IF(ISNUMBER(SEARCH("apple",X96)),"Apple",IF(ISNUMBER(SEARCH("intel",X96)),"Intel","Other")))))</f>
        <v>NVIDIA</v>
      </c>
      <c r="Z96" s="37" t="str">
        <f aca="false">IF(X96="","Unknown",IF(ISNUMBER(SEARCH("RTX",X96))+ISNUMBER(SEARCH("GTX",X96))+ISNUMBER(SEARCH("nvidia",X96))+ISNUMBER(SEARCH("Radeon RX",X96))&gt;0,"Dedicated","Integrated"))</f>
        <v>Dedicated</v>
      </c>
      <c r="AA96" s="37" t="str">
        <f aca="false">IF(ISNUMBER(SEARCH("RTX",X96)),TRIM(MID(X96,SEARCH("RTX",X96),8)),IF(X96="","Unknown",IF(Z96="Dedicated","Dedicated (model n/a)","Integrated")))</f>
        <v>RTX 5050</v>
      </c>
      <c r="AB96" s="37" t="str">
        <f aca="false">IF(ISNUMBER(G96),INDEX(Params!$E$5:$E$9,MATCH(G96,Params!$D$5:$D$9,1)),"Unknown")</f>
        <v>300–400 M</v>
      </c>
      <c r="AC96" s="45" t="n">
        <f aca="false">IF(AND(ISNUMBER(G96),ISNUMBER(Q96)),IF(Q96&gt;0,G96/Q96,""),"")</f>
        <v>24.5625</v>
      </c>
      <c r="AD96" s="39" t="n">
        <f aca="false">IF(OR(p_excl=0,ISNUMBER(SEARCH("لپ",B96))),1,0)</f>
        <v>1</v>
      </c>
      <c r="AE96" s="39" t="n">
        <f aca="false">IF(AND(AD96=1,OR(fBrand="All",D96=fBrand),OR(fCPU="All",O96=fCPU),OR(fGPU="All",Z96=fGPU),OR(fTier="All",AB96=fTier),OR(fRAM="All",R96=fRAM)),1,0)</f>
        <v>1</v>
      </c>
      <c r="AF96" s="39" t="n">
        <f aca="false">IF(AND(AE96=1,ISNUMBER(G96)),1,0)</f>
        <v>1</v>
      </c>
      <c r="AG96" s="39" t="n">
        <f aca="false">IF(AND(AE96=1,L96&gt;0),1,0)</f>
        <v>1</v>
      </c>
      <c r="AH96" s="40" t="n">
        <f aca="false">IF(AF96=1,G96,"")</f>
        <v>393</v>
      </c>
      <c r="AI96" s="39" t="str">
        <f aca="false">IF(COUNTIF($D$2:D96,D96)=1,MAX($AI$1:AI95)+1,"")</f>
        <v/>
      </c>
      <c r="AJ96" s="39" t="str">
        <f aca="false">IF(COUNTIF($P$2:P96,P96)=1,MAX($AJ$1:AJ95)+1,"")</f>
        <v/>
      </c>
      <c r="AK96" s="47" t="n">
        <f aca="false">IF(AG96=1,M96+ROW()/1000000000,"")</f>
        <v>4.52272736872727</v>
      </c>
      <c r="AL96" s="47" t="str">
        <f aca="false">IF(AND(AE96=1,I96&gt;0),I96+ROW()/1000000000,"")</f>
        <v/>
      </c>
      <c r="AM96" s="39" t="n">
        <f aca="false">IF(AND(AF96=1,ISNUMBER(W96),Z96="Dedicated"),1,0)</f>
        <v>1</v>
      </c>
      <c r="AN96" s="39" t="n">
        <f aca="false">SUM($AM$2:AM96)</f>
        <v>31</v>
      </c>
      <c r="AO96" s="39" t="n">
        <f aca="false">IF(AND(AF96=1,ISNUMBER(W96),Z96&lt;&gt;"Dedicated"),1,0)</f>
        <v>0</v>
      </c>
      <c r="AP96" s="39" t="n">
        <f aca="false">SUM($AO$2:AO96)</f>
        <v>57</v>
      </c>
      <c r="AQ96" s="39" t="n">
        <f aca="false">IF(AND(AF96=1,AG96=1),1,0)</f>
        <v>1</v>
      </c>
      <c r="AR96" s="39" t="n">
        <f aca="false">SUM($AQ$2:AQ96)</f>
        <v>94</v>
      </c>
      <c r="AS96" s="45" t="n">
        <f aca="false">IF(AQ96=1,G96,0)</f>
        <v>393</v>
      </c>
      <c r="AT96" s="45" t="n">
        <f aca="false">IF(AQ96=1,K96,0)</f>
        <v>5</v>
      </c>
      <c r="AU96" s="37" t="str">
        <f aca="false">TRIM(IF(Raw!N96="","weight missing; ","")&amp;IF(Raw!K96="","storage missing; ","")&amp;IF(ISNUMBER(FIND(" و ",Raw!K96)),"dual storage - SSD part used; ","")&amp;IF(ISNUMBER(SEARCH("TB",Raw!K96)),"storage written as TB; ","")&amp;IF(Raw!I96="","cpu missing; ","")&amp;IF(Raw!M96="","gpu missing; ","")&amp;IF(Raw!J96="","ram missing; ","")&amp;IF(Raw!L96="","screen missing; ",""))</f>
        <v/>
      </c>
    </row>
    <row r="97" customFormat="false" ht="15" hidden="false" customHeight="false" outlineLevel="0" collapsed="false">
      <c r="A97" s="39" t="n">
        <f aca="false">Raw!A97</f>
        <v>162940</v>
      </c>
      <c r="B97" s="37" t="str">
        <f aca="false">Raw!B97</f>
        <v>لپ تاپ 15.6 اینچی اچ پی مدل Victus 15 FB3093DX R7 7445HS 16GB 512GB RTX 4050</v>
      </c>
      <c r="C97" s="37" t="str">
        <f aca="false">LOWER(TRIM(Raw!C97))</f>
        <v>hp</v>
      </c>
      <c r="D97" s="37" t="str">
        <f aca="false">IFERROR(INDEX(Params!$B$5:$B$13,MATCH(C97,Params!$A$5:$A$13,0)),PROPER(C97))</f>
        <v>HP</v>
      </c>
      <c r="E97" s="37" t="str">
        <f aca="false">IF(Raw!F97,"Available","Out of stock")</f>
        <v>Available</v>
      </c>
      <c r="F97" s="43" t="n">
        <f aca="false">IF(Raw!D97="","",Raw!D97)</f>
        <v>299000000</v>
      </c>
      <c r="G97" s="40" t="n">
        <f aca="false">IF(ISNUMBER(F97),F97/1000000,"")</f>
        <v>299</v>
      </c>
      <c r="H97" s="43" t="n">
        <f aca="false">IF(Raw!E97="","",Raw!E97)</f>
        <v>325000000</v>
      </c>
      <c r="I97" s="42" t="n">
        <f aca="false">IF(AND(ISNUMBER(H97),ISNUMBER(F97)),IF(H97&gt;F97,(H97-F97)/H97,0),0)</f>
        <v>0.08</v>
      </c>
      <c r="J97" s="39" t="n">
        <f aca="false">IF(I97&gt;0,1,0)</f>
        <v>1</v>
      </c>
      <c r="K97" s="45" t="n">
        <f aca="false">Raw!G97</f>
        <v>4.1</v>
      </c>
      <c r="L97" s="39" t="n">
        <f aca="false">Raw!H97</f>
        <v>23</v>
      </c>
      <c r="M97" s="41" t="n">
        <f aca="false">IF(L97&gt;0,(L97*K97+p_m*p_c)/(L97+p_m),"")</f>
        <v>4.21363636363636</v>
      </c>
      <c r="N97" s="37" t="str">
        <f aca="false">IF(Raw!I97="","",TRIM(Raw!I97))</f>
        <v>Ryzen 7 7445HS</v>
      </c>
      <c r="O97" s="37" t="str">
        <f aca="false">IF(N97="","Unknown",IF(LEFT(N97,5)="Apple","Apple",IF(LEFT(N97,5)="Ryzen","AMD","Intel")))</f>
        <v>AMD</v>
      </c>
      <c r="P97" s="37" t="str">
        <f aca="false">IF(N97="","Unknown",IF(LEFT(N97,5)="Apple","Apple Silicon",IF(LEFT(N97,8)="Ryzen AI","Ryzen AI",TRIM(LEFT(N97,7)))))</f>
        <v>Ryzen 7</v>
      </c>
      <c r="Q97" s="39" t="n">
        <f aca="false">IFERROR(VALUE(LEFT(Raw!J97,FIND(" ",Raw!J97)-1)),"")</f>
        <v>16</v>
      </c>
      <c r="R97" s="37" t="str">
        <f aca="false">IF(NOT(ISNUMBER(Q97)),"Unknown",IF(Q97&lt;=8,"≤ 8 GB",IF(Q97&lt;=16,"12–16 GB","20 GB +")))</f>
        <v>12–16 GB</v>
      </c>
      <c r="S97" s="37" t="str">
        <f aca="false">IF(Raw!K97="","",IF(ISNUMBER(FIND(" و ",Raw!K97)),TRIM(MID(Raw!K97,FIND(" و ",Raw!K97)+3,100)),TRIM(Raw!K97)))</f>
        <v>512 گیگابایت</v>
      </c>
      <c r="T97" s="43" t="n">
        <f aca="false">IF(S97="","",IFERROR(IFERROR(VALUE(LEFT(S97,FIND(" ",S97)-1)),VALUE(LEFT(S97,LEN(S97)-2)))*IF(OR(ISNUMBER(SEARCH("ترابایت",S97)),ISNUMBER(SEARCH("TB",S97))),1024,1),""))</f>
        <v>512</v>
      </c>
      <c r="U97" s="37" t="str">
        <f aca="false">IF(NOT(ISNUMBER(T97)),"Unknown",IF(T97&lt;=256,"≤ 256 GB",IF(T97&lt;=512,"512 GB","1 TB +")))</f>
        <v>512 GB</v>
      </c>
      <c r="V97" s="45" t="n">
        <f aca="false">IFERROR(VALUE(SUBSTITUTE(LEFT(Raw!L97,FIND(" ",Raw!L97)-1),".",MID(1/2,2,1))),"")</f>
        <v>15.6</v>
      </c>
      <c r="W97" s="41" t="n">
        <f aca="false">IFERROR(VALUE(SUBSTITUTE(LEFT(Raw!N97,FIND(" ",Raw!N97)-1),".",MID(1/2,2,1))),"")</f>
        <v>2.3</v>
      </c>
      <c r="X97" s="37" t="str">
        <f aca="false">IF(Raw!M97="","",TRIM(Raw!M97))</f>
        <v>NVIDIA GeForce RTX 4050</v>
      </c>
      <c r="Y97" s="37" t="str">
        <f aca="false">IF(X97="","Unknown",IF(ISNUMBER(SEARCH("nvidia",X97)),"NVIDIA",IF(ISNUMBER(SEARCH("amd",X97)),"AMD",IF(ISNUMBER(SEARCH("apple",X97)),"Apple",IF(ISNUMBER(SEARCH("intel",X97)),"Intel","Other")))))</f>
        <v>NVIDIA</v>
      </c>
      <c r="Z97" s="37" t="str">
        <f aca="false">IF(X97="","Unknown",IF(ISNUMBER(SEARCH("RTX",X97))+ISNUMBER(SEARCH("GTX",X97))+ISNUMBER(SEARCH("nvidia",X97))+ISNUMBER(SEARCH("Radeon RX",X97))&gt;0,"Dedicated","Integrated"))</f>
        <v>Dedicated</v>
      </c>
      <c r="AA97" s="37" t="str">
        <f aca="false">IF(ISNUMBER(SEARCH("RTX",X97)),TRIM(MID(X97,SEARCH("RTX",X97),8)),IF(X97="","Unknown",IF(Z97="Dedicated","Dedicated (model n/a)","Integrated")))</f>
        <v>RTX 4050</v>
      </c>
      <c r="AB97" s="37" t="str">
        <f aca="false">IF(ISNUMBER(G97),INDEX(Params!$E$5:$E$9,MATCH(G97,Params!$D$5:$D$9,1)),"Unknown")</f>
        <v>200–300 M</v>
      </c>
      <c r="AC97" s="45" t="n">
        <f aca="false">IF(AND(ISNUMBER(G97),ISNUMBER(Q97)),IF(Q97&gt;0,G97/Q97,""),"")</f>
        <v>18.6875</v>
      </c>
      <c r="AD97" s="39" t="n">
        <f aca="false">IF(OR(p_excl=0,ISNUMBER(SEARCH("لپ",B97))),1,0)</f>
        <v>1</v>
      </c>
      <c r="AE97" s="39" t="n">
        <f aca="false">IF(AND(AD97=1,OR(fBrand="All",D97=fBrand),OR(fCPU="All",O97=fCPU),OR(fGPU="All",Z97=fGPU),OR(fTier="All",AB97=fTier),OR(fRAM="All",R97=fRAM)),1,0)</f>
        <v>1</v>
      </c>
      <c r="AF97" s="39" t="n">
        <f aca="false">IF(AND(AE97=1,ISNUMBER(G97)),1,0)</f>
        <v>1</v>
      </c>
      <c r="AG97" s="39" t="n">
        <f aca="false">IF(AND(AE97=1,L97&gt;0),1,0)</f>
        <v>1</v>
      </c>
      <c r="AH97" s="40" t="n">
        <f aca="false">IF(AF97=1,G97,"")</f>
        <v>299</v>
      </c>
      <c r="AI97" s="39" t="str">
        <f aca="false">IF(COUNTIF($D$2:D97,D97)=1,MAX($AI$1:AI96)+1,"")</f>
        <v/>
      </c>
      <c r="AJ97" s="39" t="str">
        <f aca="false">IF(COUNTIF($P$2:P97,P97)=1,MAX($AJ$1:AJ96)+1,"")</f>
        <v/>
      </c>
      <c r="AK97" s="47" t="n">
        <f aca="false">IF(AG97=1,M97+ROW()/1000000000,"")</f>
        <v>4.21363646063636</v>
      </c>
      <c r="AL97" s="47" t="n">
        <f aca="false">IF(AND(AE97=1,I97&gt;0),I97+ROW()/1000000000,"")</f>
        <v>0.080000097</v>
      </c>
      <c r="AM97" s="39" t="n">
        <f aca="false">IF(AND(AF97=1,ISNUMBER(W97),Z97="Dedicated"),1,0)</f>
        <v>1</v>
      </c>
      <c r="AN97" s="39" t="n">
        <f aca="false">SUM($AM$2:AM97)</f>
        <v>32</v>
      </c>
      <c r="AO97" s="39" t="n">
        <f aca="false">IF(AND(AF97=1,ISNUMBER(W97),Z97&lt;&gt;"Dedicated"),1,0)</f>
        <v>0</v>
      </c>
      <c r="AP97" s="39" t="n">
        <f aca="false">SUM($AO$2:AO97)</f>
        <v>57</v>
      </c>
      <c r="AQ97" s="39" t="n">
        <f aca="false">IF(AND(AF97=1,AG97=1),1,0)</f>
        <v>1</v>
      </c>
      <c r="AR97" s="39" t="n">
        <f aca="false">SUM($AQ$2:AQ97)</f>
        <v>95</v>
      </c>
      <c r="AS97" s="45" t="n">
        <f aca="false">IF(AQ97=1,G97,0)</f>
        <v>299</v>
      </c>
      <c r="AT97" s="45" t="n">
        <f aca="false">IF(AQ97=1,K97,0)</f>
        <v>4.1</v>
      </c>
      <c r="AU97" s="37" t="str">
        <f aca="false">TRIM(IF(Raw!N97="","weight missing; ","")&amp;IF(Raw!K97="","storage missing; ","")&amp;IF(ISNUMBER(FIND(" و ",Raw!K97)),"dual storage - SSD part used; ","")&amp;IF(ISNUMBER(SEARCH("TB",Raw!K97)),"storage written as TB; ","")&amp;IF(Raw!I97="","cpu missing; ","")&amp;IF(Raw!M97="","gpu missing; ","")&amp;IF(Raw!J97="","ram missing; ","")&amp;IF(Raw!L97="","screen missing; ",""))</f>
        <v/>
      </c>
    </row>
    <row r="98" customFormat="false" ht="15" hidden="false" customHeight="false" outlineLevel="0" collapsed="false">
      <c r="A98" s="39" t="n">
        <f aca="false">Raw!A98</f>
        <v>161442</v>
      </c>
      <c r="B98" s="37" t="str">
        <f aca="false">Raw!B98</f>
        <v>لپ تاپ لنوو 15.6 اینچی V15 R7 7730U 16GB 512GB</v>
      </c>
      <c r="C98" s="37" t="str">
        <f aca="false">LOWER(TRIM(Raw!C98))</f>
        <v>lenovo</v>
      </c>
      <c r="D98" s="37" t="str">
        <f aca="false">IFERROR(INDEX(Params!$B$5:$B$13,MATCH(C98,Params!$A$5:$A$13,0)),PROPER(C98))</f>
        <v>Lenovo</v>
      </c>
      <c r="E98" s="37" t="str">
        <f aca="false">IF(Raw!F98,"Available","Out of stock")</f>
        <v>Available</v>
      </c>
      <c r="F98" s="43" t="n">
        <f aca="false">IF(Raw!D98="","",Raw!D98)</f>
        <v>165000000</v>
      </c>
      <c r="G98" s="40" t="n">
        <f aca="false">IF(ISNUMBER(F98),F98/1000000,"")</f>
        <v>165</v>
      </c>
      <c r="H98" s="43" t="str">
        <f aca="false">IF(Raw!E98="","",Raw!E98)</f>
        <v/>
      </c>
      <c r="I98" s="42" t="n">
        <f aca="false">IF(AND(ISNUMBER(H98),ISNUMBER(F98)),IF(H98&gt;F98,(H98-F98)/H98,0),0)</f>
        <v>0</v>
      </c>
      <c r="J98" s="39" t="n">
        <f aca="false">IF(I98&gt;0,1,0)</f>
        <v>0</v>
      </c>
      <c r="K98" s="45" t="n">
        <f aca="false">Raw!G98</f>
        <v>4.5</v>
      </c>
      <c r="L98" s="39" t="n">
        <f aca="false">Raw!H98</f>
        <v>2</v>
      </c>
      <c r="M98" s="41" t="n">
        <f aca="false">IF(L98&gt;0,(L98*K98+p_m*p_c)/(L98+p_m),"")</f>
        <v>4.47916666666667</v>
      </c>
      <c r="N98" s="37" t="str">
        <f aca="false">IF(Raw!I98="","",TRIM(Raw!I98))</f>
        <v>Ryzen 7 7730U</v>
      </c>
      <c r="O98" s="37" t="str">
        <f aca="false">IF(N98="","Unknown",IF(LEFT(N98,5)="Apple","Apple",IF(LEFT(N98,5)="Ryzen","AMD","Intel")))</f>
        <v>AMD</v>
      </c>
      <c r="P98" s="37" t="str">
        <f aca="false">IF(N98="","Unknown",IF(LEFT(N98,5)="Apple","Apple Silicon",IF(LEFT(N98,8)="Ryzen AI","Ryzen AI",TRIM(LEFT(N98,7)))))</f>
        <v>Ryzen 7</v>
      </c>
      <c r="Q98" s="39" t="n">
        <f aca="false">IFERROR(VALUE(LEFT(Raw!J98,FIND(" ",Raw!J98)-1)),"")</f>
        <v>16</v>
      </c>
      <c r="R98" s="37" t="str">
        <f aca="false">IF(NOT(ISNUMBER(Q98)),"Unknown",IF(Q98&lt;=8,"≤ 8 GB",IF(Q98&lt;=16,"12–16 GB","20 GB +")))</f>
        <v>12–16 GB</v>
      </c>
      <c r="S98" s="37" t="str">
        <f aca="false">IF(Raw!K98="","",IF(ISNUMBER(FIND(" و ",Raw!K98)),TRIM(MID(Raw!K98,FIND(" و ",Raw!K98)+3,100)),TRIM(Raw!K98)))</f>
        <v>512 گیگابایت</v>
      </c>
      <c r="T98" s="43" t="n">
        <f aca="false">IF(S98="","",IFERROR(IFERROR(VALUE(LEFT(S98,FIND(" ",S98)-1)),VALUE(LEFT(S98,LEN(S98)-2)))*IF(OR(ISNUMBER(SEARCH("ترابایت",S98)),ISNUMBER(SEARCH("TB",S98))),1024,1),""))</f>
        <v>512</v>
      </c>
      <c r="U98" s="37" t="str">
        <f aca="false">IF(NOT(ISNUMBER(T98)),"Unknown",IF(T98&lt;=256,"≤ 256 GB",IF(T98&lt;=512,"512 GB","1 TB +")))</f>
        <v>512 GB</v>
      </c>
      <c r="V98" s="45" t="n">
        <f aca="false">IFERROR(VALUE(SUBSTITUTE(LEFT(Raw!L98,FIND(" ",Raw!L98)-1),".",MID(1/2,2,1))),"")</f>
        <v>15.6</v>
      </c>
      <c r="W98" s="41" t="n">
        <f aca="false">IFERROR(VALUE(SUBSTITUTE(LEFT(Raw!N98,FIND(" ",Raw!N98)-1),".",MID(1/2,2,1))),"")</f>
        <v>1.65</v>
      </c>
      <c r="X98" s="37" t="str">
        <f aca="false">IF(Raw!M98="","",TRIM(Raw!M98))</f>
        <v>AMD</v>
      </c>
      <c r="Y98" s="37" t="str">
        <f aca="false">IF(X98="","Unknown",IF(ISNUMBER(SEARCH("nvidia",X98)),"NVIDIA",IF(ISNUMBER(SEARCH("amd",X98)),"AMD",IF(ISNUMBER(SEARCH("apple",X98)),"Apple",IF(ISNUMBER(SEARCH("intel",X98)),"Intel","Other")))))</f>
        <v>AMD</v>
      </c>
      <c r="Z98" s="37" t="str">
        <f aca="false">IF(X98="","Unknown",IF(ISNUMBER(SEARCH("RTX",X98))+ISNUMBER(SEARCH("GTX",X98))+ISNUMBER(SEARCH("nvidia",X98))+ISNUMBER(SEARCH("Radeon RX",X98))&gt;0,"Dedicated","Integrated"))</f>
        <v>Integrated</v>
      </c>
      <c r="AA98" s="37" t="str">
        <f aca="false">IF(ISNUMBER(SEARCH("RTX",X98)),TRIM(MID(X98,SEARCH("RTX",X98),8)),IF(X98="","Unknown",IF(Z98="Dedicated","Dedicated (model n/a)","Integrated")))</f>
        <v>Integrated</v>
      </c>
      <c r="AB98" s="37" t="str">
        <f aca="false">IF(ISNUMBER(G98),INDEX(Params!$E$5:$E$9,MATCH(G98,Params!$D$5:$D$9,1)),"Unknown")</f>
        <v>100–200 M</v>
      </c>
      <c r="AC98" s="45" t="n">
        <f aca="false">IF(AND(ISNUMBER(G98),ISNUMBER(Q98)),IF(Q98&gt;0,G98/Q98,""),"")</f>
        <v>10.3125</v>
      </c>
      <c r="AD98" s="39" t="n">
        <f aca="false">IF(OR(p_excl=0,ISNUMBER(SEARCH("لپ",B98))),1,0)</f>
        <v>1</v>
      </c>
      <c r="AE98" s="39" t="n">
        <f aca="false">IF(AND(AD98=1,OR(fBrand="All",D98=fBrand),OR(fCPU="All",O98=fCPU),OR(fGPU="All",Z98=fGPU),OR(fTier="All",AB98=fTier),OR(fRAM="All",R98=fRAM)),1,0)</f>
        <v>1</v>
      </c>
      <c r="AF98" s="39" t="n">
        <f aca="false">IF(AND(AE98=1,ISNUMBER(G98)),1,0)</f>
        <v>1</v>
      </c>
      <c r="AG98" s="39" t="n">
        <f aca="false">IF(AND(AE98=1,L98&gt;0),1,0)</f>
        <v>1</v>
      </c>
      <c r="AH98" s="40" t="n">
        <f aca="false">IF(AF98=1,G98,"")</f>
        <v>165</v>
      </c>
      <c r="AI98" s="39" t="str">
        <f aca="false">IF(COUNTIF($D$2:D98,D98)=1,MAX($AI$1:AI97)+1,"")</f>
        <v/>
      </c>
      <c r="AJ98" s="39" t="str">
        <f aca="false">IF(COUNTIF($P$2:P98,P98)=1,MAX($AJ$1:AJ97)+1,"")</f>
        <v/>
      </c>
      <c r="AK98" s="47" t="n">
        <f aca="false">IF(AG98=1,M98+ROW()/1000000000,"")</f>
        <v>4.47916676466667</v>
      </c>
      <c r="AL98" s="47" t="str">
        <f aca="false">IF(AND(AE98=1,I98&gt;0),I98+ROW()/1000000000,"")</f>
        <v/>
      </c>
      <c r="AM98" s="39" t="n">
        <f aca="false">IF(AND(AF98=1,ISNUMBER(W98),Z98="Dedicated"),1,0)</f>
        <v>0</v>
      </c>
      <c r="AN98" s="39" t="n">
        <f aca="false">SUM($AM$2:AM98)</f>
        <v>32</v>
      </c>
      <c r="AO98" s="39" t="n">
        <f aca="false">IF(AND(AF98=1,ISNUMBER(W98),Z98&lt;&gt;"Dedicated"),1,0)</f>
        <v>1</v>
      </c>
      <c r="AP98" s="39" t="n">
        <f aca="false">SUM($AO$2:AO98)</f>
        <v>58</v>
      </c>
      <c r="AQ98" s="39" t="n">
        <f aca="false">IF(AND(AF98=1,AG98=1),1,0)</f>
        <v>1</v>
      </c>
      <c r="AR98" s="39" t="n">
        <f aca="false">SUM($AQ$2:AQ98)</f>
        <v>96</v>
      </c>
      <c r="AS98" s="45" t="n">
        <f aca="false">IF(AQ98=1,G98,0)</f>
        <v>165</v>
      </c>
      <c r="AT98" s="45" t="n">
        <f aca="false">IF(AQ98=1,K98,0)</f>
        <v>4.5</v>
      </c>
      <c r="AU98" s="37" t="str">
        <f aca="false">TRIM(IF(Raw!N98="","weight missing; ","")&amp;IF(Raw!K98="","storage missing; ","")&amp;IF(ISNUMBER(FIND(" و ",Raw!K98)),"dual storage - SSD part used; ","")&amp;IF(ISNUMBER(SEARCH("TB",Raw!K98)),"storage written as TB; ","")&amp;IF(Raw!I98="","cpu missing; ","")&amp;IF(Raw!M98="","gpu missing; ","")&amp;IF(Raw!J98="","ram missing; ","")&amp;IF(Raw!L98="","screen missing; ",""))</f>
        <v/>
      </c>
    </row>
    <row r="99" customFormat="false" ht="15" hidden="false" customHeight="false" outlineLevel="0" collapsed="false">
      <c r="A99" s="39" t="n">
        <f aca="false">Raw!A99</f>
        <v>149663</v>
      </c>
      <c r="B99" s="37" t="str">
        <f aca="false">Raw!B99</f>
        <v>لپ تاپ ایسوس 14 اینچی مدل Zenbook 14 UX3405CA Ultra 9 285H 32GB 1TB</v>
      </c>
      <c r="C99" s="37" t="str">
        <f aca="false">LOWER(TRIM(Raw!C99))</f>
        <v>asus</v>
      </c>
      <c r="D99" s="37" t="str">
        <f aca="false">IFERROR(INDEX(Params!$B$5:$B$13,MATCH(C99,Params!$A$5:$A$13,0)),PROPER(C99))</f>
        <v>ASUS</v>
      </c>
      <c r="E99" s="37" t="str">
        <f aca="false">IF(Raw!F99,"Available","Out of stock")</f>
        <v>Available</v>
      </c>
      <c r="F99" s="43" t="n">
        <f aca="false">IF(Raw!D99="","",Raw!D99)</f>
        <v>469000000</v>
      </c>
      <c r="G99" s="40" t="n">
        <f aca="false">IF(ISNUMBER(F99),F99/1000000,"")</f>
        <v>469</v>
      </c>
      <c r="H99" s="43" t="str">
        <f aca="false">IF(Raw!E99="","",Raw!E99)</f>
        <v/>
      </c>
      <c r="I99" s="42" t="n">
        <f aca="false">IF(AND(ISNUMBER(H99),ISNUMBER(F99)),IF(H99&gt;F99,(H99-F99)/H99,0),0)</f>
        <v>0</v>
      </c>
      <c r="J99" s="39" t="n">
        <f aca="false">IF(I99&gt;0,1,0)</f>
        <v>0</v>
      </c>
      <c r="K99" s="45" t="n">
        <f aca="false">Raw!G99</f>
        <v>4.4</v>
      </c>
      <c r="L99" s="39" t="n">
        <f aca="false">Raw!H99</f>
        <v>25</v>
      </c>
      <c r="M99" s="41" t="n">
        <f aca="false">IF(L99&gt;0,(L99*K99+p_m*p_c)/(L99+p_m),"")</f>
        <v>4.42142857142857</v>
      </c>
      <c r="N99" s="37" t="str">
        <f aca="false">IF(Raw!I99="","",TRIM(Raw!I99))</f>
        <v>Ultra 9 285H</v>
      </c>
      <c r="O99" s="37" t="str">
        <f aca="false">IF(N99="","Unknown",IF(LEFT(N99,5)="Apple","Apple",IF(LEFT(N99,5)="Ryzen","AMD","Intel")))</f>
        <v>Intel</v>
      </c>
      <c r="P99" s="37" t="str">
        <f aca="false">IF(N99="","Unknown",IF(LEFT(N99,5)="Apple","Apple Silicon",IF(LEFT(N99,8)="Ryzen AI","Ryzen AI",TRIM(LEFT(N99,7)))))</f>
        <v>Ultra 9</v>
      </c>
      <c r="Q99" s="39" t="n">
        <f aca="false">IFERROR(VALUE(LEFT(Raw!J99,FIND(" ",Raw!J99)-1)),"")</f>
        <v>32</v>
      </c>
      <c r="R99" s="37" t="str">
        <f aca="false">IF(NOT(ISNUMBER(Q99)),"Unknown",IF(Q99&lt;=8,"≤ 8 GB",IF(Q99&lt;=16,"12–16 GB","20 GB +")))</f>
        <v>20 GB +</v>
      </c>
      <c r="S99" s="37" t="str">
        <f aca="false">IF(Raw!K99="","",IF(ISNUMBER(FIND(" و ",Raw!K99)),TRIM(MID(Raw!K99,FIND(" و ",Raw!K99)+3,100)),TRIM(Raw!K99)))</f>
        <v>1 ترابایت</v>
      </c>
      <c r="T99" s="43" t="n">
        <f aca="false">IF(S99="","",IFERROR(IFERROR(VALUE(LEFT(S99,FIND(" ",S99)-1)),VALUE(LEFT(S99,LEN(S99)-2)))*IF(OR(ISNUMBER(SEARCH("ترابایت",S99)),ISNUMBER(SEARCH("TB",S99))),1024,1),""))</f>
        <v>1024</v>
      </c>
      <c r="U99" s="37" t="str">
        <f aca="false">IF(NOT(ISNUMBER(T99)),"Unknown",IF(T99&lt;=256,"≤ 256 GB",IF(T99&lt;=512,"512 GB","1 TB +")))</f>
        <v>1 TB +</v>
      </c>
      <c r="V99" s="45" t="n">
        <f aca="false">IFERROR(VALUE(SUBSTITUTE(LEFT(Raw!L99,FIND(" ",Raw!L99)-1),".",MID(1/2,2,1))),"")</f>
        <v>14</v>
      </c>
      <c r="W99" s="41" t="n">
        <f aca="false">IFERROR(VALUE(SUBSTITUTE(LEFT(Raw!N99,FIND(" ",Raw!N99)-1),".",MID(1/2,2,1))),"")</f>
        <v>1.28</v>
      </c>
      <c r="X99" s="37" t="str">
        <f aca="false">IF(Raw!M99="","",TRIM(Raw!M99))</f>
        <v>Intel Arc Graphics</v>
      </c>
      <c r="Y99" s="37" t="str">
        <f aca="false">IF(X99="","Unknown",IF(ISNUMBER(SEARCH("nvidia",X99)),"NVIDIA",IF(ISNUMBER(SEARCH("amd",X99)),"AMD",IF(ISNUMBER(SEARCH("apple",X99)),"Apple",IF(ISNUMBER(SEARCH("intel",X99)),"Intel","Other")))))</f>
        <v>Intel</v>
      </c>
      <c r="Z99" s="37" t="str">
        <f aca="false">IF(X99="","Unknown",IF(ISNUMBER(SEARCH("RTX",X99))+ISNUMBER(SEARCH("GTX",X99))+ISNUMBER(SEARCH("nvidia",X99))+ISNUMBER(SEARCH("Radeon RX",X99))&gt;0,"Dedicated","Integrated"))</f>
        <v>Integrated</v>
      </c>
      <c r="AA99" s="37" t="str">
        <f aca="false">IF(ISNUMBER(SEARCH("RTX",X99)),TRIM(MID(X99,SEARCH("RTX",X99),8)),IF(X99="","Unknown",IF(Z99="Dedicated","Dedicated (model n/a)","Integrated")))</f>
        <v>Integrated</v>
      </c>
      <c r="AB99" s="37" t="str">
        <f aca="false">IF(ISNUMBER(G99),INDEX(Params!$E$5:$E$9,MATCH(G99,Params!$D$5:$D$9,1)),"Unknown")</f>
        <v>400 M +</v>
      </c>
      <c r="AC99" s="45" t="n">
        <f aca="false">IF(AND(ISNUMBER(G99),ISNUMBER(Q99)),IF(Q99&gt;0,G99/Q99,""),"")</f>
        <v>14.65625</v>
      </c>
      <c r="AD99" s="39" t="n">
        <f aca="false">IF(OR(p_excl=0,ISNUMBER(SEARCH("لپ",B99))),1,0)</f>
        <v>1</v>
      </c>
      <c r="AE99" s="39" t="n">
        <f aca="false">IF(AND(AD99=1,OR(fBrand="All",D99=fBrand),OR(fCPU="All",O99=fCPU),OR(fGPU="All",Z99=fGPU),OR(fTier="All",AB99=fTier),OR(fRAM="All",R99=fRAM)),1,0)</f>
        <v>1</v>
      </c>
      <c r="AF99" s="39" t="n">
        <f aca="false">IF(AND(AE99=1,ISNUMBER(G99)),1,0)</f>
        <v>1</v>
      </c>
      <c r="AG99" s="39" t="n">
        <f aca="false">IF(AND(AE99=1,L99&gt;0),1,0)</f>
        <v>1</v>
      </c>
      <c r="AH99" s="40" t="n">
        <f aca="false">IF(AF99=1,G99,"")</f>
        <v>469</v>
      </c>
      <c r="AI99" s="39" t="str">
        <f aca="false">IF(COUNTIF($D$2:D99,D99)=1,MAX($AI$1:AI98)+1,"")</f>
        <v/>
      </c>
      <c r="AJ99" s="39" t="n">
        <f aca="false">IF(COUNTIF($P$2:P99,P99)=1,MAX($AJ$1:AJ98)+1,"")</f>
        <v>17</v>
      </c>
      <c r="AK99" s="47" t="n">
        <f aca="false">IF(AG99=1,M99+ROW()/1000000000,"")</f>
        <v>4.42142867042857</v>
      </c>
      <c r="AL99" s="47" t="str">
        <f aca="false">IF(AND(AE99=1,I99&gt;0),I99+ROW()/1000000000,"")</f>
        <v/>
      </c>
      <c r="AM99" s="39" t="n">
        <f aca="false">IF(AND(AF99=1,ISNUMBER(W99),Z99="Dedicated"),1,0)</f>
        <v>0</v>
      </c>
      <c r="AN99" s="39" t="n">
        <f aca="false">SUM($AM$2:AM99)</f>
        <v>32</v>
      </c>
      <c r="AO99" s="39" t="n">
        <f aca="false">IF(AND(AF99=1,ISNUMBER(W99),Z99&lt;&gt;"Dedicated"),1,0)</f>
        <v>1</v>
      </c>
      <c r="AP99" s="39" t="n">
        <f aca="false">SUM($AO$2:AO99)</f>
        <v>59</v>
      </c>
      <c r="AQ99" s="39" t="n">
        <f aca="false">IF(AND(AF99=1,AG99=1),1,0)</f>
        <v>1</v>
      </c>
      <c r="AR99" s="39" t="n">
        <f aca="false">SUM($AQ$2:AQ99)</f>
        <v>97</v>
      </c>
      <c r="AS99" s="45" t="n">
        <f aca="false">IF(AQ99=1,G99,0)</f>
        <v>469</v>
      </c>
      <c r="AT99" s="45" t="n">
        <f aca="false">IF(AQ99=1,K99,0)</f>
        <v>4.4</v>
      </c>
      <c r="AU99" s="37" t="str">
        <f aca="false">TRIM(IF(Raw!N99="","weight missing; ","")&amp;IF(Raw!K99="","storage missing; ","")&amp;IF(ISNUMBER(FIND(" و ",Raw!K99)),"dual storage - SSD part used; ","")&amp;IF(ISNUMBER(SEARCH("TB",Raw!K99)),"storage written as TB; ","")&amp;IF(Raw!I99="","cpu missing; ","")&amp;IF(Raw!M99="","gpu missing; ","")&amp;IF(Raw!J99="","ram missing; ","")&amp;IF(Raw!L99="","screen missing; ",""))</f>
        <v/>
      </c>
    </row>
    <row r="100" customFormat="false" ht="15" hidden="false" customHeight="false" outlineLevel="0" collapsed="false">
      <c r="A100" s="39" t="n">
        <f aca="false">Raw!A100</f>
        <v>149641</v>
      </c>
      <c r="B100" s="37" t="str">
        <f aca="false">Raw!B100</f>
        <v>لپ تاپ 16 اینچی ایسوس مدل TUF Gaming FX607VJ CORE 5 210H 16GB 512GB RTX 3050</v>
      </c>
      <c r="C100" s="37" t="str">
        <f aca="false">LOWER(TRIM(Raw!C100))</f>
        <v>asus</v>
      </c>
      <c r="D100" s="37" t="str">
        <f aca="false">IFERROR(INDEX(Params!$B$5:$B$13,MATCH(C100,Params!$A$5:$A$13,0)),PROPER(C100))</f>
        <v>ASUS</v>
      </c>
      <c r="E100" s="37" t="str">
        <f aca="false">IF(Raw!F100,"Available","Out of stock")</f>
        <v>Available</v>
      </c>
      <c r="F100" s="43" t="n">
        <f aca="false">IF(Raw!D100="","",Raw!D100)</f>
        <v>295000000</v>
      </c>
      <c r="G100" s="40" t="n">
        <f aca="false">IF(ISNUMBER(F100),F100/1000000,"")</f>
        <v>295</v>
      </c>
      <c r="H100" s="43" t="str">
        <f aca="false">IF(Raw!E100="","",Raw!E100)</f>
        <v/>
      </c>
      <c r="I100" s="42" t="n">
        <f aca="false">IF(AND(ISNUMBER(H100),ISNUMBER(F100)),IF(H100&gt;F100,(H100-F100)/H100,0),0)</f>
        <v>0</v>
      </c>
      <c r="J100" s="39" t="n">
        <f aca="false">IF(I100&gt;0,1,0)</f>
        <v>0</v>
      </c>
      <c r="K100" s="45" t="n">
        <f aca="false">Raw!G100</f>
        <v>5</v>
      </c>
      <c r="L100" s="39" t="n">
        <f aca="false">Raw!H100</f>
        <v>1</v>
      </c>
      <c r="M100" s="41" t="n">
        <f aca="false">IF(L100&gt;0,(L100*K100+p_m*p_c)/(L100+p_m),"")</f>
        <v>4.52272727272727</v>
      </c>
      <c r="N100" s="37" t="str">
        <f aca="false">IF(Raw!I100="","",TRIM(Raw!I100))</f>
        <v>Core 5 210H</v>
      </c>
      <c r="O100" s="37" t="str">
        <f aca="false">IF(N100="","Unknown",IF(LEFT(N100,5)="Apple","Apple",IF(LEFT(N100,5)="Ryzen","AMD","Intel")))</f>
        <v>Intel</v>
      </c>
      <c r="P100" s="37" t="str">
        <f aca="false">IF(N100="","Unknown",IF(LEFT(N100,5)="Apple","Apple Silicon",IF(LEFT(N100,8)="Ryzen AI","Ryzen AI",TRIM(LEFT(N100,7)))))</f>
        <v>Core 5</v>
      </c>
      <c r="Q100" s="39" t="n">
        <f aca="false">IFERROR(VALUE(LEFT(Raw!J100,FIND(" ",Raw!J100)-1)),"")</f>
        <v>16</v>
      </c>
      <c r="R100" s="37" t="str">
        <f aca="false">IF(NOT(ISNUMBER(Q100)),"Unknown",IF(Q100&lt;=8,"≤ 8 GB",IF(Q100&lt;=16,"12–16 GB","20 GB +")))</f>
        <v>12–16 GB</v>
      </c>
      <c r="S100" s="37" t="str">
        <f aca="false">IF(Raw!K100="","",IF(ISNUMBER(FIND(" و ",Raw!K100)),TRIM(MID(Raw!K100,FIND(" و ",Raw!K100)+3,100)),TRIM(Raw!K100)))</f>
        <v>512 گیگابایت</v>
      </c>
      <c r="T100" s="43" t="n">
        <f aca="false">IF(S100="","",IFERROR(IFERROR(VALUE(LEFT(S100,FIND(" ",S100)-1)),VALUE(LEFT(S100,LEN(S100)-2)))*IF(OR(ISNUMBER(SEARCH("ترابایت",S100)),ISNUMBER(SEARCH("TB",S100))),1024,1),""))</f>
        <v>512</v>
      </c>
      <c r="U100" s="37" t="str">
        <f aca="false">IF(NOT(ISNUMBER(T100)),"Unknown",IF(T100&lt;=256,"≤ 256 GB",IF(T100&lt;=512,"512 GB","1 TB +")))</f>
        <v>512 GB</v>
      </c>
      <c r="V100" s="45" t="n">
        <f aca="false">IFERROR(VALUE(SUBSTITUTE(LEFT(Raw!L100,FIND(" ",Raw!L100)-1),".",MID(1/2,2,1))),"")</f>
        <v>16</v>
      </c>
      <c r="W100" s="41" t="n">
        <f aca="false">IFERROR(VALUE(SUBSTITUTE(LEFT(Raw!N100,FIND(" ",Raw!N100)-1),".",MID(1/2,2,1))),"")</f>
        <v>2.2</v>
      </c>
      <c r="X100" s="37" t="str">
        <f aca="false">IF(Raw!M100="","",TRIM(Raw!M100))</f>
        <v>NVIDIA GeForce RTX 3050</v>
      </c>
      <c r="Y100" s="37" t="str">
        <f aca="false">IF(X100="","Unknown",IF(ISNUMBER(SEARCH("nvidia",X100)),"NVIDIA",IF(ISNUMBER(SEARCH("amd",X100)),"AMD",IF(ISNUMBER(SEARCH("apple",X100)),"Apple",IF(ISNUMBER(SEARCH("intel",X100)),"Intel","Other")))))</f>
        <v>NVIDIA</v>
      </c>
      <c r="Z100" s="37" t="str">
        <f aca="false">IF(X100="","Unknown",IF(ISNUMBER(SEARCH("RTX",X100))+ISNUMBER(SEARCH("GTX",X100))+ISNUMBER(SEARCH("nvidia",X100))+ISNUMBER(SEARCH("Radeon RX",X100))&gt;0,"Dedicated","Integrated"))</f>
        <v>Dedicated</v>
      </c>
      <c r="AA100" s="37" t="str">
        <f aca="false">IF(ISNUMBER(SEARCH("RTX",X100)),TRIM(MID(X100,SEARCH("RTX",X100),8)),IF(X100="","Unknown",IF(Z100="Dedicated","Dedicated (model n/a)","Integrated")))</f>
        <v>RTX 3050</v>
      </c>
      <c r="AB100" s="37" t="str">
        <f aca="false">IF(ISNUMBER(G100),INDEX(Params!$E$5:$E$9,MATCH(G100,Params!$D$5:$D$9,1)),"Unknown")</f>
        <v>200–300 M</v>
      </c>
      <c r="AC100" s="45" t="n">
        <f aca="false">IF(AND(ISNUMBER(G100),ISNUMBER(Q100)),IF(Q100&gt;0,G100/Q100,""),"")</f>
        <v>18.4375</v>
      </c>
      <c r="AD100" s="39" t="n">
        <f aca="false">IF(OR(p_excl=0,ISNUMBER(SEARCH("لپ",B100))),1,0)</f>
        <v>1</v>
      </c>
      <c r="AE100" s="39" t="n">
        <f aca="false">IF(AND(AD100=1,OR(fBrand="All",D100=fBrand),OR(fCPU="All",O100=fCPU),OR(fGPU="All",Z100=fGPU),OR(fTier="All",AB100=fTier),OR(fRAM="All",R100=fRAM)),1,0)</f>
        <v>1</v>
      </c>
      <c r="AF100" s="39" t="n">
        <f aca="false">IF(AND(AE100=1,ISNUMBER(G100)),1,0)</f>
        <v>1</v>
      </c>
      <c r="AG100" s="39" t="n">
        <f aca="false">IF(AND(AE100=1,L100&gt;0),1,0)</f>
        <v>1</v>
      </c>
      <c r="AH100" s="40" t="n">
        <f aca="false">IF(AF100=1,G100,"")</f>
        <v>295</v>
      </c>
      <c r="AI100" s="39" t="str">
        <f aca="false">IF(COUNTIF($D$2:D100,D100)=1,MAX($AI$1:AI99)+1,"")</f>
        <v/>
      </c>
      <c r="AJ100" s="39" t="str">
        <f aca="false">IF(COUNTIF($P$2:P100,P100)=1,MAX($AJ$1:AJ99)+1,"")</f>
        <v/>
      </c>
      <c r="AK100" s="47" t="n">
        <f aca="false">IF(AG100=1,M100+ROW()/1000000000,"")</f>
        <v>4.52272737272727</v>
      </c>
      <c r="AL100" s="47" t="str">
        <f aca="false">IF(AND(AE100=1,I100&gt;0),I100+ROW()/1000000000,"")</f>
        <v/>
      </c>
      <c r="AM100" s="39" t="n">
        <f aca="false">IF(AND(AF100=1,ISNUMBER(W100),Z100="Dedicated"),1,0)</f>
        <v>1</v>
      </c>
      <c r="AN100" s="39" t="n">
        <f aca="false">SUM($AM$2:AM100)</f>
        <v>33</v>
      </c>
      <c r="AO100" s="39" t="n">
        <f aca="false">IF(AND(AF100=1,ISNUMBER(W100),Z100&lt;&gt;"Dedicated"),1,0)</f>
        <v>0</v>
      </c>
      <c r="AP100" s="39" t="n">
        <f aca="false">SUM($AO$2:AO100)</f>
        <v>59</v>
      </c>
      <c r="AQ100" s="39" t="n">
        <f aca="false">IF(AND(AF100=1,AG100=1),1,0)</f>
        <v>1</v>
      </c>
      <c r="AR100" s="39" t="n">
        <f aca="false">SUM($AQ$2:AQ100)</f>
        <v>98</v>
      </c>
      <c r="AS100" s="45" t="n">
        <f aca="false">IF(AQ100=1,G100,0)</f>
        <v>295</v>
      </c>
      <c r="AT100" s="45" t="n">
        <f aca="false">IF(AQ100=1,K100,0)</f>
        <v>5</v>
      </c>
      <c r="AU100" s="37" t="str">
        <f aca="false">TRIM(IF(Raw!N100="","weight missing; ","")&amp;IF(Raw!K100="","storage missing; ","")&amp;IF(ISNUMBER(FIND(" و ",Raw!K100)),"dual storage - SSD part used; ","")&amp;IF(ISNUMBER(SEARCH("TB",Raw!K100)),"storage written as TB; ","")&amp;IF(Raw!I100="","cpu missing; ","")&amp;IF(Raw!M100="","gpu missing; ","")&amp;IF(Raw!J100="","ram missing; ","")&amp;IF(Raw!L100="","screen missing; ",""))</f>
        <v/>
      </c>
    </row>
    <row r="101" customFormat="false" ht="15" hidden="false" customHeight="false" outlineLevel="0" collapsed="false">
      <c r="A101" s="39" t="n">
        <f aca="false">Raw!A101</f>
        <v>127788</v>
      </c>
      <c r="B101" s="37" t="str">
        <f aca="false">Raw!B101</f>
        <v>لپ تاپ ایسوس 15.6 اینچی مدل ExpertBook P1503CVA i7 13620H 16GB 512GB Fingerprint</v>
      </c>
      <c r="C101" s="37" t="str">
        <f aca="false">LOWER(TRIM(Raw!C101))</f>
        <v>asus</v>
      </c>
      <c r="D101" s="37" t="str">
        <f aca="false">IFERROR(INDEX(Params!$B$5:$B$13,MATCH(C101,Params!$A$5:$A$13,0)),PROPER(C101))</f>
        <v>ASUS</v>
      </c>
      <c r="E101" s="37" t="str">
        <f aca="false">IF(Raw!F101,"Available","Out of stock")</f>
        <v>Available</v>
      </c>
      <c r="F101" s="43" t="n">
        <f aca="false">IF(Raw!D101="","",Raw!D101)</f>
        <v>255700000</v>
      </c>
      <c r="G101" s="40" t="n">
        <f aca="false">IF(ISNUMBER(F101),F101/1000000,"")</f>
        <v>255.7</v>
      </c>
      <c r="H101" s="43" t="str">
        <f aca="false">IF(Raw!E101="","",Raw!E101)</f>
        <v/>
      </c>
      <c r="I101" s="42" t="n">
        <f aca="false">IF(AND(ISNUMBER(H101),ISNUMBER(F101)),IF(H101&gt;F101,(H101-F101)/H101,0),0)</f>
        <v>0</v>
      </c>
      <c r="J101" s="39" t="n">
        <f aca="false">IF(I101&gt;0,1,0)</f>
        <v>0</v>
      </c>
      <c r="K101" s="45" t="n">
        <f aca="false">Raw!G101</f>
        <v>4.4</v>
      </c>
      <c r="L101" s="39" t="n">
        <f aca="false">Raw!H101</f>
        <v>21</v>
      </c>
      <c r="M101" s="41" t="n">
        <f aca="false">IF(L101&gt;0,(L101*K101+p_m*p_c)/(L101+p_m),"")</f>
        <v>4.4241935483871</v>
      </c>
      <c r="N101" s="37" t="str">
        <f aca="false">IF(Raw!I101="","",TRIM(Raw!I101))</f>
        <v>Core i7 13620H</v>
      </c>
      <c r="O101" s="37" t="str">
        <f aca="false">IF(N101="","Unknown",IF(LEFT(N101,5)="Apple","Apple",IF(LEFT(N101,5)="Ryzen","AMD","Intel")))</f>
        <v>Intel</v>
      </c>
      <c r="P101" s="37" t="str">
        <f aca="false">IF(N101="","Unknown",IF(LEFT(N101,5)="Apple","Apple Silicon",IF(LEFT(N101,8)="Ryzen AI","Ryzen AI",TRIM(LEFT(N101,7)))))</f>
        <v>Core i7</v>
      </c>
      <c r="Q101" s="39" t="n">
        <f aca="false">IFERROR(VALUE(LEFT(Raw!J101,FIND(" ",Raw!J101)-1)),"")</f>
        <v>16</v>
      </c>
      <c r="R101" s="37" t="str">
        <f aca="false">IF(NOT(ISNUMBER(Q101)),"Unknown",IF(Q101&lt;=8,"≤ 8 GB",IF(Q101&lt;=16,"12–16 GB","20 GB +")))</f>
        <v>12–16 GB</v>
      </c>
      <c r="S101" s="37" t="str">
        <f aca="false">IF(Raw!K101="","",IF(ISNUMBER(FIND(" و ",Raw!K101)),TRIM(MID(Raw!K101,FIND(" و ",Raw!K101)+3,100)),TRIM(Raw!K101)))</f>
        <v>512 گیگابایت</v>
      </c>
      <c r="T101" s="43" t="n">
        <f aca="false">IF(S101="","",IFERROR(IFERROR(VALUE(LEFT(S101,FIND(" ",S101)-1)),VALUE(LEFT(S101,LEN(S101)-2)))*IF(OR(ISNUMBER(SEARCH("ترابایت",S101)),ISNUMBER(SEARCH("TB",S101))),1024,1),""))</f>
        <v>512</v>
      </c>
      <c r="U101" s="37" t="str">
        <f aca="false">IF(NOT(ISNUMBER(T101)),"Unknown",IF(T101&lt;=256,"≤ 256 GB",IF(T101&lt;=512,"512 GB","1 TB +")))</f>
        <v>512 GB</v>
      </c>
      <c r="V101" s="45" t="n">
        <f aca="false">IFERROR(VALUE(SUBSTITUTE(LEFT(Raw!L101,FIND(" ",Raw!L101)-1),".",MID(1/2,2,1))),"")</f>
        <v>15.6</v>
      </c>
      <c r="W101" s="41" t="n">
        <f aca="false">IFERROR(VALUE(SUBSTITUTE(LEFT(Raw!N101,FIND(" ",Raw!N101)-1),".",MID(1/2,2,1))),"")</f>
        <v>1.63</v>
      </c>
      <c r="X101" s="37" t="str">
        <f aca="false">IF(Raw!M101="","",TRIM(Raw!M101))</f>
        <v>Intel UHD Graphics</v>
      </c>
      <c r="Y101" s="37" t="str">
        <f aca="false">IF(X101="","Unknown",IF(ISNUMBER(SEARCH("nvidia",X101)),"NVIDIA",IF(ISNUMBER(SEARCH("amd",X101)),"AMD",IF(ISNUMBER(SEARCH("apple",X101)),"Apple",IF(ISNUMBER(SEARCH("intel",X101)),"Intel","Other")))))</f>
        <v>Intel</v>
      </c>
      <c r="Z101" s="37" t="str">
        <f aca="false">IF(X101="","Unknown",IF(ISNUMBER(SEARCH("RTX",X101))+ISNUMBER(SEARCH("GTX",X101))+ISNUMBER(SEARCH("nvidia",X101))+ISNUMBER(SEARCH("Radeon RX",X101))&gt;0,"Dedicated","Integrated"))</f>
        <v>Integrated</v>
      </c>
      <c r="AA101" s="37" t="str">
        <f aca="false">IF(ISNUMBER(SEARCH("RTX",X101)),TRIM(MID(X101,SEARCH("RTX",X101),8)),IF(X101="","Unknown",IF(Z101="Dedicated","Dedicated (model n/a)","Integrated")))</f>
        <v>Integrated</v>
      </c>
      <c r="AB101" s="37" t="str">
        <f aca="false">IF(ISNUMBER(G101),INDEX(Params!$E$5:$E$9,MATCH(G101,Params!$D$5:$D$9,1)),"Unknown")</f>
        <v>200–300 M</v>
      </c>
      <c r="AC101" s="45" t="n">
        <f aca="false">IF(AND(ISNUMBER(G101),ISNUMBER(Q101)),IF(Q101&gt;0,G101/Q101,""),"")</f>
        <v>15.98125</v>
      </c>
      <c r="AD101" s="39" t="n">
        <f aca="false">IF(OR(p_excl=0,ISNUMBER(SEARCH("لپ",B101))),1,0)</f>
        <v>1</v>
      </c>
      <c r="AE101" s="39" t="n">
        <f aca="false">IF(AND(AD101=1,OR(fBrand="All",D101=fBrand),OR(fCPU="All",O101=fCPU),OR(fGPU="All",Z101=fGPU),OR(fTier="All",AB101=fTier),OR(fRAM="All",R101=fRAM)),1,0)</f>
        <v>1</v>
      </c>
      <c r="AF101" s="39" t="n">
        <f aca="false">IF(AND(AE101=1,ISNUMBER(G101)),1,0)</f>
        <v>1</v>
      </c>
      <c r="AG101" s="39" t="n">
        <f aca="false">IF(AND(AE101=1,L101&gt;0),1,0)</f>
        <v>1</v>
      </c>
      <c r="AH101" s="40" t="n">
        <f aca="false">IF(AF101=1,G101,"")</f>
        <v>255.7</v>
      </c>
      <c r="AI101" s="39" t="str">
        <f aca="false">IF(COUNTIF($D$2:D101,D101)=1,MAX($AI$1:AI100)+1,"")</f>
        <v/>
      </c>
      <c r="AJ101" s="39" t="str">
        <f aca="false">IF(COUNTIF($P$2:P101,P101)=1,MAX($AJ$1:AJ100)+1,"")</f>
        <v/>
      </c>
      <c r="AK101" s="47" t="n">
        <f aca="false">IF(AG101=1,M101+ROW()/1000000000,"")</f>
        <v>4.4241936493871</v>
      </c>
      <c r="AL101" s="47" t="str">
        <f aca="false">IF(AND(AE101=1,I101&gt;0),I101+ROW()/1000000000,"")</f>
        <v/>
      </c>
      <c r="AM101" s="39" t="n">
        <f aca="false">IF(AND(AF101=1,ISNUMBER(W101),Z101="Dedicated"),1,0)</f>
        <v>0</v>
      </c>
      <c r="AN101" s="39" t="n">
        <f aca="false">SUM($AM$2:AM101)</f>
        <v>33</v>
      </c>
      <c r="AO101" s="39" t="n">
        <f aca="false">IF(AND(AF101=1,ISNUMBER(W101),Z101&lt;&gt;"Dedicated"),1,0)</f>
        <v>1</v>
      </c>
      <c r="AP101" s="39" t="n">
        <f aca="false">SUM($AO$2:AO101)</f>
        <v>60</v>
      </c>
      <c r="AQ101" s="39" t="n">
        <f aca="false">IF(AND(AF101=1,AG101=1),1,0)</f>
        <v>1</v>
      </c>
      <c r="AR101" s="39" t="n">
        <f aca="false">SUM($AQ$2:AQ101)</f>
        <v>99</v>
      </c>
      <c r="AS101" s="45" t="n">
        <f aca="false">IF(AQ101=1,G101,0)</f>
        <v>255.7</v>
      </c>
      <c r="AT101" s="45" t="n">
        <f aca="false">IF(AQ101=1,K101,0)</f>
        <v>4.4</v>
      </c>
      <c r="AU101" s="37" t="str">
        <f aca="false">TRIM(IF(Raw!N101="","weight missing; ","")&amp;IF(Raw!K101="","storage missing; ","")&amp;IF(ISNUMBER(FIND(" و ",Raw!K101)),"dual storage - SSD part used; ","")&amp;IF(ISNUMBER(SEARCH("TB",Raw!K101)),"storage written as TB; ","")&amp;IF(Raw!I101="","cpu missing; ","")&amp;IF(Raw!M101="","gpu missing; ","")&amp;IF(Raw!J101="","ram missing; ","")&amp;IF(Raw!L101="","screen missing; 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99AE"/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2"/>
    <col collapsed="false" customWidth="true" hidden="false" outlineLevel="0" max="13" min="13" style="0" width="26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48" t="s">
        <v>130</v>
      </c>
      <c r="B1" s="48" t="s">
        <v>123</v>
      </c>
      <c r="C1" s="48" t="s">
        <v>70</v>
      </c>
      <c r="D1" s="48" t="s">
        <v>174</v>
      </c>
      <c r="E1" s="48" t="s">
        <v>175</v>
      </c>
      <c r="F1" s="48" t="s">
        <v>176</v>
      </c>
      <c r="G1" s="48" t="s">
        <v>111</v>
      </c>
      <c r="H1" s="48" t="s">
        <v>138</v>
      </c>
      <c r="I1" s="48" t="s">
        <v>140</v>
      </c>
      <c r="J1" s="48" t="s">
        <v>177</v>
      </c>
      <c r="K1" s="48" t="s">
        <v>178</v>
      </c>
      <c r="L1" s="48" t="s">
        <v>179</v>
      </c>
      <c r="M1" s="48" t="s">
        <v>150</v>
      </c>
      <c r="N1" s="48" t="s">
        <v>180</v>
      </c>
    </row>
    <row r="2" customFormat="false" ht="15" hidden="false" customHeight="false" outlineLevel="0" collapsed="false">
      <c r="A2" s="37" t="n">
        <v>60492</v>
      </c>
      <c r="B2" s="37" t="s">
        <v>181</v>
      </c>
      <c r="C2" s="37" t="s">
        <v>182</v>
      </c>
      <c r="D2" s="37" t="n">
        <v>125499000</v>
      </c>
      <c r="E2" s="37" t="n">
        <v>126000000</v>
      </c>
      <c r="F2" s="49" t="b">
        <f aca="false">TRUE()</f>
        <v>1</v>
      </c>
      <c r="G2" s="37" t="n">
        <v>4.2</v>
      </c>
      <c r="H2" s="37" t="n">
        <v>45</v>
      </c>
      <c r="I2" s="37" t="s">
        <v>183</v>
      </c>
      <c r="J2" s="37" t="s">
        <v>184</v>
      </c>
      <c r="K2" s="37" t="s">
        <v>185</v>
      </c>
      <c r="L2" s="37" t="s">
        <v>186</v>
      </c>
      <c r="M2" s="37" t="s">
        <v>187</v>
      </c>
      <c r="N2" s="37" t="s">
        <v>188</v>
      </c>
    </row>
    <row r="3" customFormat="false" ht="15" hidden="false" customHeight="false" outlineLevel="0" collapsed="false">
      <c r="A3" s="37" t="n">
        <v>511107</v>
      </c>
      <c r="B3" s="37" t="s">
        <v>189</v>
      </c>
      <c r="C3" s="37" t="s">
        <v>190</v>
      </c>
      <c r="D3" s="37" t="n">
        <v>272000000</v>
      </c>
      <c r="F3" s="49" t="b">
        <f aca="false">TRUE()</f>
        <v>1</v>
      </c>
      <c r="G3" s="37" t="n">
        <v>5</v>
      </c>
      <c r="H3" s="37" t="n">
        <v>2</v>
      </c>
      <c r="I3" s="37" t="s">
        <v>191</v>
      </c>
      <c r="J3" s="37" t="s">
        <v>192</v>
      </c>
      <c r="K3" s="37" t="s">
        <v>193</v>
      </c>
      <c r="L3" s="37" t="s">
        <v>186</v>
      </c>
      <c r="M3" s="37" t="s">
        <v>194</v>
      </c>
      <c r="N3" s="37" t="s">
        <v>195</v>
      </c>
    </row>
    <row r="4" customFormat="false" ht="15" hidden="false" customHeight="false" outlineLevel="0" collapsed="false">
      <c r="A4" s="37" t="n">
        <v>133524</v>
      </c>
      <c r="B4" s="37" t="s">
        <v>196</v>
      </c>
      <c r="C4" s="37" t="s">
        <v>182</v>
      </c>
      <c r="D4" s="37" t="n">
        <v>185000000</v>
      </c>
      <c r="F4" s="49" t="b">
        <f aca="false">TRUE()</f>
        <v>1</v>
      </c>
      <c r="G4" s="37" t="n">
        <v>3.8</v>
      </c>
      <c r="H4" s="37" t="n">
        <v>36</v>
      </c>
      <c r="I4" s="37" t="s">
        <v>197</v>
      </c>
      <c r="J4" s="37" t="s">
        <v>192</v>
      </c>
      <c r="K4" s="37" t="s">
        <v>185</v>
      </c>
      <c r="L4" s="37" t="s">
        <v>198</v>
      </c>
      <c r="M4" s="37" t="s">
        <v>187</v>
      </c>
    </row>
    <row r="5" customFormat="false" ht="15" hidden="false" customHeight="false" outlineLevel="0" collapsed="false">
      <c r="A5" s="37" t="n">
        <v>61555</v>
      </c>
      <c r="B5" s="37" t="s">
        <v>199</v>
      </c>
      <c r="C5" s="37" t="s">
        <v>200</v>
      </c>
      <c r="D5" s="37" t="n">
        <v>65500000</v>
      </c>
      <c r="F5" s="49" t="b">
        <f aca="false">TRUE()</f>
        <v>1</v>
      </c>
      <c r="G5" s="37" t="n">
        <v>4</v>
      </c>
      <c r="H5" s="37" t="n">
        <v>24</v>
      </c>
      <c r="I5" s="37" t="s">
        <v>201</v>
      </c>
      <c r="J5" s="37" t="s">
        <v>202</v>
      </c>
      <c r="K5" s="37" t="s">
        <v>203</v>
      </c>
      <c r="L5" s="37" t="s">
        <v>204</v>
      </c>
      <c r="M5" s="37" t="s">
        <v>187</v>
      </c>
      <c r="N5" s="37" t="s">
        <v>205</v>
      </c>
    </row>
    <row r="6" customFormat="false" ht="15" hidden="false" customHeight="false" outlineLevel="0" collapsed="false">
      <c r="A6" s="37" t="n">
        <v>239877</v>
      </c>
      <c r="B6" s="37" t="s">
        <v>206</v>
      </c>
      <c r="C6" s="37" t="s">
        <v>207</v>
      </c>
      <c r="D6" s="37" t="n">
        <v>275000000</v>
      </c>
      <c r="E6" s="37" t="n">
        <v>285000000</v>
      </c>
      <c r="F6" s="49" t="b">
        <f aca="false">TRUE()</f>
        <v>1</v>
      </c>
      <c r="G6" s="37" t="n">
        <v>4.2</v>
      </c>
      <c r="H6" s="37" t="n">
        <v>36</v>
      </c>
      <c r="I6" s="37" t="s">
        <v>197</v>
      </c>
      <c r="J6" s="37" t="s">
        <v>192</v>
      </c>
      <c r="K6" s="37" t="s">
        <v>185</v>
      </c>
      <c r="L6" s="37" t="s">
        <v>186</v>
      </c>
      <c r="M6" s="37" t="s">
        <v>208</v>
      </c>
      <c r="N6" s="37" t="s">
        <v>209</v>
      </c>
    </row>
    <row r="7" customFormat="false" ht="15" hidden="false" customHeight="false" outlineLevel="0" collapsed="false">
      <c r="A7" s="37" t="n">
        <v>134276</v>
      </c>
      <c r="B7" s="37" t="s">
        <v>210</v>
      </c>
      <c r="C7" s="37" t="s">
        <v>207</v>
      </c>
      <c r="D7" s="37" t="n">
        <v>242000000</v>
      </c>
      <c r="F7" s="49" t="b">
        <f aca="false">TRUE()</f>
        <v>1</v>
      </c>
      <c r="G7" s="37" t="n">
        <v>4.4</v>
      </c>
      <c r="H7" s="37" t="n">
        <v>32</v>
      </c>
      <c r="I7" s="37" t="s">
        <v>197</v>
      </c>
      <c r="J7" s="37" t="s">
        <v>192</v>
      </c>
      <c r="K7" s="37" t="s">
        <v>185</v>
      </c>
      <c r="L7" s="37" t="s">
        <v>186</v>
      </c>
      <c r="M7" s="37" t="s">
        <v>194</v>
      </c>
      <c r="N7" s="37" t="s">
        <v>211</v>
      </c>
    </row>
    <row r="8" customFormat="false" ht="15" hidden="false" customHeight="false" outlineLevel="0" collapsed="false">
      <c r="A8" s="37" t="n">
        <v>133168</v>
      </c>
      <c r="B8" s="37" t="s">
        <v>212</v>
      </c>
      <c r="C8" s="37" t="s">
        <v>182</v>
      </c>
      <c r="D8" s="37" t="n">
        <v>220200000</v>
      </c>
      <c r="F8" s="49" t="b">
        <f aca="false">TRUE()</f>
        <v>1</v>
      </c>
      <c r="G8" s="37" t="n">
        <v>3.2</v>
      </c>
      <c r="H8" s="37" t="n">
        <v>11</v>
      </c>
      <c r="I8" s="37" t="s">
        <v>191</v>
      </c>
      <c r="J8" s="37" t="s">
        <v>192</v>
      </c>
      <c r="K8" s="37" t="s">
        <v>185</v>
      </c>
      <c r="L8" s="37" t="s">
        <v>198</v>
      </c>
      <c r="M8" s="37" t="s">
        <v>187</v>
      </c>
    </row>
    <row r="9" customFormat="false" ht="15" hidden="false" customHeight="false" outlineLevel="0" collapsed="false">
      <c r="A9" s="37" t="n">
        <v>106793</v>
      </c>
      <c r="B9" s="37" t="s">
        <v>213</v>
      </c>
      <c r="C9" s="37" t="s">
        <v>182</v>
      </c>
      <c r="D9" s="37" t="n">
        <v>94500000</v>
      </c>
      <c r="F9" s="49" t="b">
        <f aca="false">TRUE()</f>
        <v>1</v>
      </c>
      <c r="G9" s="37" t="n">
        <v>4.7</v>
      </c>
      <c r="H9" s="37" t="n">
        <v>6</v>
      </c>
      <c r="I9" s="37" t="s">
        <v>201</v>
      </c>
      <c r="J9" s="37" t="s">
        <v>184</v>
      </c>
      <c r="K9" s="37" t="s">
        <v>214</v>
      </c>
      <c r="L9" s="37" t="s">
        <v>186</v>
      </c>
      <c r="M9" s="37" t="s">
        <v>187</v>
      </c>
      <c r="N9" s="37" t="s">
        <v>215</v>
      </c>
    </row>
    <row r="10" customFormat="false" ht="15" hidden="false" customHeight="false" outlineLevel="0" collapsed="false">
      <c r="A10" s="37" t="n">
        <v>66798</v>
      </c>
      <c r="B10" s="37" t="s">
        <v>216</v>
      </c>
      <c r="C10" s="37" t="s">
        <v>200</v>
      </c>
      <c r="D10" s="37" t="n">
        <v>196600000</v>
      </c>
      <c r="F10" s="49" t="b">
        <f aca="false">TRUE()</f>
        <v>1</v>
      </c>
      <c r="G10" s="37" t="n">
        <v>5</v>
      </c>
      <c r="H10" s="37" t="n">
        <v>1</v>
      </c>
      <c r="I10" s="37" t="s">
        <v>217</v>
      </c>
      <c r="J10" s="37" t="s">
        <v>192</v>
      </c>
      <c r="K10" s="37" t="s">
        <v>185</v>
      </c>
      <c r="L10" s="37" t="s">
        <v>186</v>
      </c>
      <c r="M10" s="37" t="s">
        <v>82</v>
      </c>
      <c r="N10" s="37" t="s">
        <v>218</v>
      </c>
    </row>
    <row r="11" customFormat="false" ht="15" hidden="false" customHeight="false" outlineLevel="0" collapsed="false">
      <c r="A11" s="37" t="n">
        <v>49420</v>
      </c>
      <c r="B11" s="37" t="s">
        <v>219</v>
      </c>
      <c r="C11" s="37" t="s">
        <v>182</v>
      </c>
      <c r="D11" s="37" t="n">
        <v>178000000</v>
      </c>
      <c r="F11" s="49" t="b">
        <f aca="false">TRUE()</f>
        <v>1</v>
      </c>
      <c r="G11" s="37" t="n">
        <v>4.1</v>
      </c>
      <c r="H11" s="37" t="n">
        <v>36</v>
      </c>
      <c r="I11" s="37" t="s">
        <v>197</v>
      </c>
      <c r="J11" s="37" t="s">
        <v>192</v>
      </c>
      <c r="K11" s="37" t="s">
        <v>185</v>
      </c>
      <c r="L11" s="37" t="s">
        <v>186</v>
      </c>
      <c r="M11" s="37" t="s">
        <v>187</v>
      </c>
      <c r="N11" s="37" t="s">
        <v>188</v>
      </c>
    </row>
    <row r="12" customFormat="false" ht="15" hidden="false" customHeight="false" outlineLevel="0" collapsed="false">
      <c r="A12" s="37" t="n">
        <v>31158</v>
      </c>
      <c r="B12" s="37" t="s">
        <v>220</v>
      </c>
      <c r="C12" s="37" t="s">
        <v>200</v>
      </c>
      <c r="D12" s="37" t="n">
        <v>199300000</v>
      </c>
      <c r="F12" s="49" t="b">
        <f aca="false">TRUE()</f>
        <v>1</v>
      </c>
      <c r="G12" s="37" t="n">
        <v>4.1</v>
      </c>
      <c r="H12" s="37" t="n">
        <v>50</v>
      </c>
      <c r="I12" s="37" t="s">
        <v>221</v>
      </c>
      <c r="J12" s="37" t="s">
        <v>192</v>
      </c>
      <c r="K12" s="37" t="s">
        <v>185</v>
      </c>
      <c r="L12" s="37" t="s">
        <v>186</v>
      </c>
      <c r="M12" s="37" t="s">
        <v>222</v>
      </c>
      <c r="N12" s="37" t="s">
        <v>218</v>
      </c>
    </row>
    <row r="13" customFormat="false" ht="15" hidden="false" customHeight="false" outlineLevel="0" collapsed="false">
      <c r="A13" s="37" t="n">
        <v>382470</v>
      </c>
      <c r="B13" s="37" t="s">
        <v>223</v>
      </c>
      <c r="C13" s="37" t="s">
        <v>200</v>
      </c>
      <c r="D13" s="37" t="n">
        <v>225500000</v>
      </c>
      <c r="F13" s="49" t="b">
        <f aca="false">TRUE()</f>
        <v>1</v>
      </c>
      <c r="G13" s="37" t="n">
        <v>5</v>
      </c>
      <c r="H13" s="37" t="n">
        <v>1</v>
      </c>
      <c r="I13" s="37" t="s">
        <v>217</v>
      </c>
      <c r="J13" s="37" t="s">
        <v>224</v>
      </c>
      <c r="K13" s="37" t="s">
        <v>193</v>
      </c>
      <c r="L13" s="37" t="s">
        <v>186</v>
      </c>
      <c r="M13" s="37" t="s">
        <v>82</v>
      </c>
      <c r="N13" s="37" t="s">
        <v>218</v>
      </c>
    </row>
    <row r="14" customFormat="false" ht="15" hidden="false" customHeight="false" outlineLevel="0" collapsed="false">
      <c r="A14" s="37" t="n">
        <v>60364</v>
      </c>
      <c r="B14" s="37" t="s">
        <v>225</v>
      </c>
      <c r="C14" s="37" t="s">
        <v>182</v>
      </c>
      <c r="D14" s="37" t="n">
        <v>117999000</v>
      </c>
      <c r="E14" s="37" t="n">
        <v>120000000</v>
      </c>
      <c r="F14" s="49" t="b">
        <f aca="false">TRUE()</f>
        <v>1</v>
      </c>
      <c r="G14" s="37" t="n">
        <v>3.7</v>
      </c>
      <c r="H14" s="37" t="n">
        <v>30</v>
      </c>
      <c r="I14" s="37" t="s">
        <v>183</v>
      </c>
      <c r="J14" s="37" t="s">
        <v>184</v>
      </c>
      <c r="K14" s="37" t="s">
        <v>214</v>
      </c>
      <c r="L14" s="37" t="s">
        <v>186</v>
      </c>
      <c r="M14" s="37" t="s">
        <v>187</v>
      </c>
      <c r="N14" s="37" t="s">
        <v>188</v>
      </c>
    </row>
    <row r="15" customFormat="false" ht="15" hidden="false" customHeight="false" outlineLevel="0" collapsed="false">
      <c r="A15" s="37" t="n">
        <v>594208</v>
      </c>
      <c r="B15" s="37" t="s">
        <v>226</v>
      </c>
      <c r="C15" s="37" t="s">
        <v>200</v>
      </c>
      <c r="D15" s="37" t="n">
        <v>181000000</v>
      </c>
      <c r="F15" s="49" t="b">
        <f aca="false">TRUE()</f>
        <v>1</v>
      </c>
      <c r="G15" s="37" t="n">
        <v>5</v>
      </c>
      <c r="H15" s="37" t="n">
        <v>1</v>
      </c>
      <c r="I15" s="37" t="s">
        <v>227</v>
      </c>
      <c r="J15" s="37" t="s">
        <v>192</v>
      </c>
      <c r="K15" s="37" t="s">
        <v>185</v>
      </c>
      <c r="L15" s="37" t="s">
        <v>186</v>
      </c>
      <c r="M15" s="37" t="s">
        <v>82</v>
      </c>
      <c r="N15" s="37" t="s">
        <v>218</v>
      </c>
    </row>
    <row r="16" customFormat="false" ht="15" hidden="false" customHeight="false" outlineLevel="0" collapsed="false">
      <c r="A16" s="37" t="n">
        <v>435739</v>
      </c>
      <c r="B16" s="37" t="s">
        <v>228</v>
      </c>
      <c r="C16" s="37" t="s">
        <v>229</v>
      </c>
      <c r="D16" s="37" t="n">
        <v>245730000</v>
      </c>
      <c r="F16" s="49" t="b">
        <f aca="false">TRUE()</f>
        <v>1</v>
      </c>
      <c r="G16" s="37" t="n">
        <v>4.5</v>
      </c>
      <c r="H16" s="37" t="n">
        <v>2</v>
      </c>
      <c r="I16" s="37" t="s">
        <v>230</v>
      </c>
      <c r="J16" s="37" t="s">
        <v>184</v>
      </c>
      <c r="K16" s="37" t="s">
        <v>185</v>
      </c>
      <c r="L16" s="37" t="s">
        <v>231</v>
      </c>
      <c r="M16" s="37" t="s">
        <v>84</v>
      </c>
      <c r="N16" s="37" t="s">
        <v>232</v>
      </c>
    </row>
    <row r="17" customFormat="false" ht="15" hidden="false" customHeight="false" outlineLevel="0" collapsed="false">
      <c r="A17" s="37" t="n">
        <v>435289</v>
      </c>
      <c r="B17" s="37" t="s">
        <v>233</v>
      </c>
      <c r="C17" s="37" t="s">
        <v>229</v>
      </c>
      <c r="D17" s="37" t="n">
        <v>217470000</v>
      </c>
      <c r="F17" s="49" t="b">
        <f aca="false">TRUE()</f>
        <v>1</v>
      </c>
      <c r="G17" s="37" t="n">
        <v>4.7</v>
      </c>
      <c r="H17" s="37" t="n">
        <v>13</v>
      </c>
      <c r="I17" s="37" t="s">
        <v>230</v>
      </c>
      <c r="J17" s="37" t="s">
        <v>184</v>
      </c>
      <c r="K17" s="37" t="s">
        <v>214</v>
      </c>
      <c r="L17" s="37" t="s">
        <v>231</v>
      </c>
      <c r="M17" s="37" t="s">
        <v>84</v>
      </c>
      <c r="N17" s="37" t="s">
        <v>232</v>
      </c>
    </row>
    <row r="18" customFormat="false" ht="15" hidden="false" customHeight="false" outlineLevel="0" collapsed="false">
      <c r="A18" s="37" t="n">
        <v>38034</v>
      </c>
      <c r="B18" s="37" t="s">
        <v>234</v>
      </c>
      <c r="C18" s="37" t="s">
        <v>200</v>
      </c>
      <c r="D18" s="37" t="n">
        <v>149500000</v>
      </c>
      <c r="F18" s="49" t="b">
        <f aca="false">TRUE()</f>
        <v>1</v>
      </c>
      <c r="G18" s="37" t="n">
        <v>4.1</v>
      </c>
      <c r="H18" s="37" t="n">
        <v>48</v>
      </c>
      <c r="I18" s="37" t="s">
        <v>183</v>
      </c>
      <c r="J18" s="37" t="s">
        <v>184</v>
      </c>
      <c r="K18" s="37" t="s">
        <v>185</v>
      </c>
      <c r="L18" s="37" t="s">
        <v>186</v>
      </c>
      <c r="M18" s="37" t="s">
        <v>187</v>
      </c>
      <c r="N18" s="37" t="s">
        <v>218</v>
      </c>
    </row>
    <row r="19" customFormat="false" ht="15" hidden="false" customHeight="false" outlineLevel="0" collapsed="false">
      <c r="A19" s="37" t="n">
        <v>593941</v>
      </c>
      <c r="B19" s="37" t="s">
        <v>235</v>
      </c>
      <c r="C19" s="37" t="s">
        <v>207</v>
      </c>
      <c r="D19" s="37" t="n">
        <v>215000000</v>
      </c>
      <c r="E19" s="37" t="n">
        <v>220000000</v>
      </c>
      <c r="F19" s="49" t="b">
        <f aca="false">TRUE()</f>
        <v>1</v>
      </c>
      <c r="G19" s="37" t="n">
        <v>5</v>
      </c>
      <c r="H19" s="37" t="n">
        <v>1</v>
      </c>
      <c r="I19" s="37" t="s">
        <v>236</v>
      </c>
      <c r="J19" s="37" t="s">
        <v>192</v>
      </c>
      <c r="K19" s="37" t="s">
        <v>185</v>
      </c>
      <c r="L19" s="37" t="s">
        <v>237</v>
      </c>
      <c r="M19" s="37" t="s">
        <v>238</v>
      </c>
      <c r="N19" s="37" t="s">
        <v>239</v>
      </c>
    </row>
    <row r="20" customFormat="false" ht="15" hidden="false" customHeight="false" outlineLevel="0" collapsed="false">
      <c r="A20" s="37" t="n">
        <v>314753</v>
      </c>
      <c r="B20" s="37" t="s">
        <v>240</v>
      </c>
      <c r="C20" s="37" t="s">
        <v>207</v>
      </c>
      <c r="D20" s="37" t="n">
        <v>165000000</v>
      </c>
      <c r="F20" s="49" t="b">
        <f aca="false">TRUE()</f>
        <v>1</v>
      </c>
      <c r="G20" s="37" t="n">
        <v>5</v>
      </c>
      <c r="H20" s="37" t="n">
        <v>1</v>
      </c>
      <c r="I20" s="37" t="s">
        <v>241</v>
      </c>
      <c r="J20" s="37" t="s">
        <v>192</v>
      </c>
      <c r="K20" s="37" t="s">
        <v>185</v>
      </c>
      <c r="L20" s="37" t="s">
        <v>186</v>
      </c>
      <c r="M20" s="37" t="s">
        <v>83</v>
      </c>
      <c r="N20" s="37" t="s">
        <v>242</v>
      </c>
    </row>
    <row r="21" customFormat="false" ht="15" hidden="false" customHeight="false" outlineLevel="0" collapsed="false">
      <c r="A21" s="37" t="n">
        <v>132007</v>
      </c>
      <c r="B21" s="37" t="s">
        <v>243</v>
      </c>
      <c r="C21" s="37" t="s">
        <v>207</v>
      </c>
      <c r="D21" s="37" t="n">
        <v>229000000</v>
      </c>
      <c r="E21" s="37" t="n">
        <v>240000000</v>
      </c>
      <c r="F21" s="49" t="b">
        <f aca="false">TRUE()</f>
        <v>1</v>
      </c>
      <c r="G21" s="37" t="n">
        <v>4.3</v>
      </c>
      <c r="H21" s="37" t="n">
        <v>24</v>
      </c>
      <c r="I21" s="37" t="s">
        <v>197</v>
      </c>
      <c r="J21" s="37" t="s">
        <v>184</v>
      </c>
      <c r="K21" s="37" t="s">
        <v>185</v>
      </c>
      <c r="L21" s="37" t="s">
        <v>186</v>
      </c>
      <c r="M21" s="37" t="s">
        <v>194</v>
      </c>
      <c r="N21" s="37" t="s">
        <v>211</v>
      </c>
    </row>
    <row r="22" customFormat="false" ht="15" hidden="false" customHeight="false" outlineLevel="0" collapsed="false">
      <c r="A22" s="37" t="n">
        <v>62437</v>
      </c>
      <c r="B22" s="37" t="s">
        <v>244</v>
      </c>
      <c r="C22" s="37" t="s">
        <v>182</v>
      </c>
      <c r="D22" s="37" t="n">
        <v>126000000</v>
      </c>
      <c r="F22" s="49" t="b">
        <f aca="false">TRUE()</f>
        <v>1</v>
      </c>
      <c r="G22" s="37" t="n">
        <v>4.3</v>
      </c>
      <c r="H22" s="37" t="n">
        <v>20</v>
      </c>
      <c r="I22" s="37" t="s">
        <v>245</v>
      </c>
      <c r="J22" s="37" t="s">
        <v>184</v>
      </c>
      <c r="K22" s="37" t="s">
        <v>185</v>
      </c>
      <c r="L22" s="37" t="s">
        <v>186</v>
      </c>
      <c r="M22" s="37" t="s">
        <v>246</v>
      </c>
      <c r="N22" s="37" t="s">
        <v>188</v>
      </c>
    </row>
    <row r="23" customFormat="false" ht="15" hidden="false" customHeight="false" outlineLevel="0" collapsed="false">
      <c r="A23" s="37" t="n">
        <v>517770</v>
      </c>
      <c r="B23" s="37" t="s">
        <v>247</v>
      </c>
      <c r="C23" s="37" t="s">
        <v>200</v>
      </c>
      <c r="D23" s="37" t="n">
        <v>182000000</v>
      </c>
      <c r="F23" s="49" t="b">
        <f aca="false">TRUE()</f>
        <v>1</v>
      </c>
      <c r="G23" s="37" t="n">
        <v>3</v>
      </c>
      <c r="H23" s="37" t="n">
        <v>1</v>
      </c>
      <c r="I23" s="37" t="s">
        <v>217</v>
      </c>
      <c r="J23" s="37" t="s">
        <v>184</v>
      </c>
      <c r="K23" s="37" t="s">
        <v>185</v>
      </c>
      <c r="L23" s="37" t="s">
        <v>186</v>
      </c>
      <c r="M23" s="37" t="s">
        <v>82</v>
      </c>
      <c r="N23" s="37" t="s">
        <v>218</v>
      </c>
    </row>
    <row r="24" customFormat="false" ht="15" hidden="false" customHeight="false" outlineLevel="0" collapsed="false">
      <c r="A24" s="37" t="n">
        <v>430767</v>
      </c>
      <c r="B24" s="37" t="s">
        <v>248</v>
      </c>
      <c r="C24" s="37" t="s">
        <v>200</v>
      </c>
      <c r="D24" s="37" t="n">
        <v>142000000</v>
      </c>
      <c r="F24" s="49" t="b">
        <f aca="false">TRUE()</f>
        <v>1</v>
      </c>
      <c r="G24" s="37" t="n">
        <v>5</v>
      </c>
      <c r="H24" s="37" t="n">
        <v>1</v>
      </c>
      <c r="I24" s="37" t="s">
        <v>249</v>
      </c>
      <c r="J24" s="37" t="s">
        <v>184</v>
      </c>
      <c r="K24" s="37" t="s">
        <v>185</v>
      </c>
      <c r="L24" s="37" t="s">
        <v>186</v>
      </c>
      <c r="M24" s="37" t="s">
        <v>238</v>
      </c>
      <c r="N24" s="37" t="s">
        <v>188</v>
      </c>
    </row>
    <row r="25" customFormat="false" ht="15" hidden="false" customHeight="false" outlineLevel="0" collapsed="false">
      <c r="A25" s="37" t="n">
        <v>259579</v>
      </c>
      <c r="B25" s="37" t="s">
        <v>250</v>
      </c>
      <c r="C25" s="37" t="s">
        <v>190</v>
      </c>
      <c r="D25" s="37" t="n">
        <v>400000000</v>
      </c>
      <c r="F25" s="49" t="b">
        <f aca="false">TRUE()</f>
        <v>1</v>
      </c>
      <c r="G25" s="37" t="n">
        <v>4.5</v>
      </c>
      <c r="H25" s="37" t="n">
        <v>2</v>
      </c>
      <c r="I25" s="37" t="s">
        <v>251</v>
      </c>
      <c r="J25" s="37" t="s">
        <v>192</v>
      </c>
      <c r="K25" s="37" t="s">
        <v>193</v>
      </c>
      <c r="L25" s="37" t="s">
        <v>186</v>
      </c>
      <c r="M25" s="37" t="s">
        <v>252</v>
      </c>
      <c r="N25" s="37" t="s">
        <v>253</v>
      </c>
    </row>
    <row r="26" customFormat="false" ht="15" hidden="false" customHeight="false" outlineLevel="0" collapsed="false">
      <c r="A26" s="37" t="n">
        <v>133971</v>
      </c>
      <c r="B26" s="37" t="s">
        <v>254</v>
      </c>
      <c r="C26" s="37" t="s">
        <v>182</v>
      </c>
      <c r="D26" s="37" t="n">
        <v>234000000</v>
      </c>
      <c r="F26" s="49" t="b">
        <f aca="false">TRUE()</f>
        <v>1</v>
      </c>
      <c r="G26" s="37" t="n">
        <v>4.1</v>
      </c>
      <c r="H26" s="37" t="n">
        <v>29</v>
      </c>
      <c r="I26" s="37" t="s">
        <v>191</v>
      </c>
      <c r="J26" s="37" t="s">
        <v>192</v>
      </c>
      <c r="K26" s="37" t="s">
        <v>193</v>
      </c>
      <c r="L26" s="37" t="s">
        <v>198</v>
      </c>
      <c r="M26" s="37" t="s">
        <v>187</v>
      </c>
    </row>
    <row r="27" customFormat="false" ht="15" hidden="false" customHeight="false" outlineLevel="0" collapsed="false">
      <c r="A27" s="37" t="n">
        <v>49422</v>
      </c>
      <c r="B27" s="37" t="s">
        <v>255</v>
      </c>
      <c r="C27" s="37" t="s">
        <v>182</v>
      </c>
      <c r="D27" s="37" t="n">
        <v>155000000</v>
      </c>
      <c r="F27" s="49" t="b">
        <f aca="false">TRUE()</f>
        <v>1</v>
      </c>
      <c r="G27" s="37" t="n">
        <v>3.8</v>
      </c>
      <c r="H27" s="37" t="n">
        <v>20</v>
      </c>
      <c r="I27" s="37" t="s">
        <v>197</v>
      </c>
      <c r="J27" s="37" t="s">
        <v>184</v>
      </c>
      <c r="K27" s="37" t="s">
        <v>185</v>
      </c>
      <c r="L27" s="37" t="s">
        <v>186</v>
      </c>
      <c r="M27" s="37" t="s">
        <v>187</v>
      </c>
      <c r="N27" s="37" t="s">
        <v>188</v>
      </c>
    </row>
    <row r="28" customFormat="false" ht="15" hidden="false" customHeight="false" outlineLevel="0" collapsed="false">
      <c r="A28" s="37" t="n">
        <v>35550</v>
      </c>
      <c r="B28" s="37" t="s">
        <v>256</v>
      </c>
      <c r="C28" s="37" t="s">
        <v>182</v>
      </c>
      <c r="D28" s="37" t="n">
        <v>308000000</v>
      </c>
      <c r="F28" s="49" t="b">
        <f aca="false">TRUE()</f>
        <v>1</v>
      </c>
      <c r="G28" s="37" t="n">
        <v>4.3</v>
      </c>
      <c r="H28" s="37" t="n">
        <v>36</v>
      </c>
      <c r="I28" s="37" t="s">
        <v>257</v>
      </c>
      <c r="J28" s="37" t="s">
        <v>192</v>
      </c>
      <c r="K28" s="37" t="s">
        <v>185</v>
      </c>
      <c r="L28" s="37" t="s">
        <v>186</v>
      </c>
      <c r="M28" s="37" t="s">
        <v>194</v>
      </c>
      <c r="N28" s="37" t="s">
        <v>253</v>
      </c>
    </row>
    <row r="29" customFormat="false" ht="15" hidden="false" customHeight="false" outlineLevel="0" collapsed="false">
      <c r="A29" s="37" t="n">
        <v>518235</v>
      </c>
      <c r="B29" s="37" t="s">
        <v>258</v>
      </c>
      <c r="C29" s="37" t="s">
        <v>200</v>
      </c>
      <c r="D29" s="37" t="n">
        <v>199900000</v>
      </c>
      <c r="F29" s="49" t="b">
        <f aca="false">TRUE()</f>
        <v>1</v>
      </c>
      <c r="G29" s="37" t="n">
        <v>5</v>
      </c>
      <c r="H29" s="37" t="n">
        <v>1</v>
      </c>
      <c r="I29" s="37" t="s">
        <v>217</v>
      </c>
      <c r="J29" s="37" t="s">
        <v>192</v>
      </c>
      <c r="K29" s="37" t="s">
        <v>185</v>
      </c>
      <c r="L29" s="37" t="s">
        <v>186</v>
      </c>
      <c r="M29" s="37" t="s">
        <v>82</v>
      </c>
      <c r="N29" s="37" t="s">
        <v>218</v>
      </c>
    </row>
    <row r="30" customFormat="false" ht="15" hidden="false" customHeight="false" outlineLevel="0" collapsed="false">
      <c r="A30" s="37" t="n">
        <v>316871</v>
      </c>
      <c r="B30" s="37" t="s">
        <v>259</v>
      </c>
      <c r="C30" s="37" t="s">
        <v>182</v>
      </c>
      <c r="D30" s="37" t="n">
        <v>346000000</v>
      </c>
      <c r="F30" s="49" t="b">
        <f aca="false">TRUE()</f>
        <v>1</v>
      </c>
      <c r="G30" s="37" t="n">
        <v>4.6</v>
      </c>
      <c r="H30" s="37" t="n">
        <v>9</v>
      </c>
      <c r="I30" s="37" t="s">
        <v>260</v>
      </c>
      <c r="J30" s="37" t="s">
        <v>192</v>
      </c>
      <c r="K30" s="37" t="s">
        <v>185</v>
      </c>
      <c r="L30" s="37" t="s">
        <v>186</v>
      </c>
      <c r="M30" s="37" t="s">
        <v>261</v>
      </c>
      <c r="N30" s="37" t="s">
        <v>253</v>
      </c>
    </row>
    <row r="31" customFormat="false" ht="15" hidden="false" customHeight="false" outlineLevel="0" collapsed="false">
      <c r="A31" s="37" t="n">
        <v>313735</v>
      </c>
      <c r="B31" s="37" t="s">
        <v>262</v>
      </c>
      <c r="C31" s="37" t="s">
        <v>200</v>
      </c>
      <c r="D31" s="37" t="n">
        <v>195600000</v>
      </c>
      <c r="F31" s="49" t="b">
        <f aca="false">TRUE()</f>
        <v>1</v>
      </c>
      <c r="G31" s="37" t="n">
        <v>5</v>
      </c>
      <c r="H31" s="37" t="n">
        <v>1</v>
      </c>
      <c r="I31" s="37" t="s">
        <v>263</v>
      </c>
      <c r="J31" s="37" t="s">
        <v>192</v>
      </c>
      <c r="K31" s="37" t="s">
        <v>185</v>
      </c>
      <c r="L31" s="37" t="s">
        <v>186</v>
      </c>
      <c r="M31" s="37" t="s">
        <v>264</v>
      </c>
      <c r="N31" s="37" t="s">
        <v>265</v>
      </c>
    </row>
    <row r="32" customFormat="false" ht="15" hidden="false" customHeight="false" outlineLevel="0" collapsed="false">
      <c r="A32" s="37" t="n">
        <v>165916</v>
      </c>
      <c r="B32" s="37" t="s">
        <v>266</v>
      </c>
      <c r="C32" s="37" t="s">
        <v>267</v>
      </c>
      <c r="D32" s="37" t="n">
        <v>198500000</v>
      </c>
      <c r="F32" s="49" t="b">
        <f aca="false">TRUE()</f>
        <v>1</v>
      </c>
      <c r="G32" s="37" t="n">
        <v>4</v>
      </c>
      <c r="H32" s="37" t="n">
        <v>198</v>
      </c>
    </row>
    <row r="33" customFormat="false" ht="15" hidden="false" customHeight="false" outlineLevel="0" collapsed="false">
      <c r="A33" s="37" t="n">
        <v>276553</v>
      </c>
      <c r="B33" s="37" t="s">
        <v>268</v>
      </c>
      <c r="C33" s="37" t="s">
        <v>269</v>
      </c>
      <c r="D33" s="37" t="n">
        <v>149000000</v>
      </c>
      <c r="F33" s="49" t="b">
        <f aca="false">TRUE()</f>
        <v>1</v>
      </c>
      <c r="G33" s="37" t="n">
        <v>5</v>
      </c>
      <c r="H33" s="37" t="n">
        <v>1</v>
      </c>
      <c r="I33" s="37" t="s">
        <v>197</v>
      </c>
      <c r="J33" s="37" t="s">
        <v>184</v>
      </c>
      <c r="K33" s="37" t="s">
        <v>185</v>
      </c>
      <c r="L33" s="37" t="s">
        <v>186</v>
      </c>
      <c r="M33" s="37" t="s">
        <v>187</v>
      </c>
      <c r="N33" s="37" t="s">
        <v>270</v>
      </c>
    </row>
    <row r="34" customFormat="false" ht="15" hidden="false" customHeight="false" outlineLevel="0" collapsed="false">
      <c r="A34" s="37" t="n">
        <v>74107</v>
      </c>
      <c r="B34" s="37" t="s">
        <v>271</v>
      </c>
      <c r="C34" s="37" t="s">
        <v>207</v>
      </c>
      <c r="D34" s="37" t="n">
        <v>259000000</v>
      </c>
      <c r="F34" s="49" t="b">
        <f aca="false">TRUE()</f>
        <v>1</v>
      </c>
      <c r="G34" s="37" t="n">
        <v>4.5</v>
      </c>
      <c r="H34" s="37" t="n">
        <v>15</v>
      </c>
      <c r="I34" s="37" t="s">
        <v>197</v>
      </c>
      <c r="J34" s="37" t="s">
        <v>192</v>
      </c>
      <c r="K34" s="37" t="s">
        <v>185</v>
      </c>
      <c r="L34" s="37" t="s">
        <v>186</v>
      </c>
      <c r="M34" s="37" t="s">
        <v>208</v>
      </c>
      <c r="N34" s="37" t="s">
        <v>209</v>
      </c>
    </row>
    <row r="35" customFormat="false" ht="15" hidden="false" customHeight="false" outlineLevel="0" collapsed="false">
      <c r="A35" s="37" t="n">
        <v>61558</v>
      </c>
      <c r="B35" s="37" t="s">
        <v>272</v>
      </c>
      <c r="C35" s="37" t="s">
        <v>200</v>
      </c>
      <c r="D35" s="37" t="n">
        <v>69600000</v>
      </c>
      <c r="F35" s="49" t="b">
        <f aca="false">TRUE()</f>
        <v>1</v>
      </c>
      <c r="G35" s="37" t="n">
        <v>4.1</v>
      </c>
      <c r="H35" s="37" t="n">
        <v>27</v>
      </c>
      <c r="I35" s="37" t="s">
        <v>201</v>
      </c>
      <c r="J35" s="37" t="s">
        <v>202</v>
      </c>
      <c r="K35" s="37" t="s">
        <v>273</v>
      </c>
      <c r="L35" s="37" t="s">
        <v>204</v>
      </c>
      <c r="M35" s="37" t="s">
        <v>187</v>
      </c>
      <c r="N35" s="37" t="s">
        <v>205</v>
      </c>
    </row>
    <row r="36" customFormat="false" ht="15" hidden="false" customHeight="false" outlineLevel="0" collapsed="false">
      <c r="A36" s="37" t="n">
        <v>61554</v>
      </c>
      <c r="B36" s="37" t="s">
        <v>274</v>
      </c>
      <c r="C36" s="37" t="s">
        <v>200</v>
      </c>
      <c r="D36" s="37" t="n">
        <v>69500000</v>
      </c>
      <c r="F36" s="49" t="b">
        <f aca="false">TRUE()</f>
        <v>1</v>
      </c>
      <c r="G36" s="37" t="n">
        <v>3.8</v>
      </c>
      <c r="H36" s="37" t="n">
        <v>27</v>
      </c>
      <c r="I36" s="37" t="s">
        <v>201</v>
      </c>
      <c r="J36" s="37" t="s">
        <v>202</v>
      </c>
      <c r="K36" s="37" t="s">
        <v>275</v>
      </c>
      <c r="L36" s="37" t="s">
        <v>204</v>
      </c>
      <c r="M36" s="37" t="s">
        <v>187</v>
      </c>
      <c r="N36" s="37" t="s">
        <v>205</v>
      </c>
    </row>
    <row r="37" customFormat="false" ht="15" hidden="false" customHeight="false" outlineLevel="0" collapsed="false">
      <c r="A37" s="37" t="n">
        <v>33510</v>
      </c>
      <c r="B37" s="37" t="s">
        <v>276</v>
      </c>
      <c r="C37" s="37" t="s">
        <v>182</v>
      </c>
      <c r="D37" s="37" t="n">
        <v>92500000</v>
      </c>
      <c r="F37" s="49" t="b">
        <f aca="false">TRUE()</f>
        <v>1</v>
      </c>
      <c r="G37" s="37" t="n">
        <v>3.4</v>
      </c>
      <c r="H37" s="37" t="n">
        <v>27</v>
      </c>
      <c r="I37" s="37" t="s">
        <v>201</v>
      </c>
      <c r="J37" s="37" t="s">
        <v>184</v>
      </c>
      <c r="K37" s="37" t="s">
        <v>214</v>
      </c>
      <c r="L37" s="37" t="s">
        <v>186</v>
      </c>
      <c r="M37" s="37" t="s">
        <v>187</v>
      </c>
      <c r="N37" s="37" t="s">
        <v>218</v>
      </c>
    </row>
    <row r="38" customFormat="false" ht="15" hidden="false" customHeight="false" outlineLevel="0" collapsed="false">
      <c r="A38" s="37" t="n">
        <v>32624</v>
      </c>
      <c r="B38" s="37" t="s">
        <v>277</v>
      </c>
      <c r="C38" s="37" t="s">
        <v>200</v>
      </c>
      <c r="D38" s="37" t="n">
        <v>228500000</v>
      </c>
      <c r="F38" s="49" t="b">
        <f aca="false">TRUE()</f>
        <v>1</v>
      </c>
      <c r="G38" s="37" t="n">
        <v>4.3</v>
      </c>
      <c r="H38" s="37" t="n">
        <v>71</v>
      </c>
      <c r="I38" s="37" t="s">
        <v>221</v>
      </c>
      <c r="J38" s="37" t="s">
        <v>224</v>
      </c>
      <c r="K38" s="37" t="s">
        <v>193</v>
      </c>
      <c r="L38" s="37" t="s">
        <v>186</v>
      </c>
      <c r="M38" s="37" t="s">
        <v>222</v>
      </c>
      <c r="N38" s="37" t="s">
        <v>218</v>
      </c>
    </row>
    <row r="39" customFormat="false" ht="15" hidden="false" customHeight="false" outlineLevel="0" collapsed="false">
      <c r="A39" s="37" t="n">
        <v>302953</v>
      </c>
      <c r="B39" s="37" t="s">
        <v>278</v>
      </c>
      <c r="C39" s="37" t="s">
        <v>269</v>
      </c>
      <c r="D39" s="37" t="n">
        <v>156200000</v>
      </c>
      <c r="F39" s="49" t="b">
        <f aca="false">TRUE()</f>
        <v>1</v>
      </c>
      <c r="G39" s="37" t="n">
        <v>5</v>
      </c>
      <c r="H39" s="37" t="n">
        <v>1</v>
      </c>
      <c r="I39" s="37" t="s">
        <v>279</v>
      </c>
      <c r="J39" s="37" t="s">
        <v>184</v>
      </c>
      <c r="K39" s="37" t="s">
        <v>185</v>
      </c>
      <c r="L39" s="37" t="s">
        <v>186</v>
      </c>
      <c r="M39" s="37" t="s">
        <v>280</v>
      </c>
      <c r="N39" s="37" t="s">
        <v>218</v>
      </c>
    </row>
    <row r="40" customFormat="false" ht="15" hidden="false" customHeight="false" outlineLevel="0" collapsed="false">
      <c r="A40" s="37" t="n">
        <v>239916</v>
      </c>
      <c r="B40" s="37" t="s">
        <v>281</v>
      </c>
      <c r="C40" s="37" t="s">
        <v>207</v>
      </c>
      <c r="D40" s="37" t="n">
        <v>310000000</v>
      </c>
      <c r="F40" s="49" t="b">
        <f aca="false">TRUE()</f>
        <v>1</v>
      </c>
      <c r="G40" s="37" t="n">
        <v>5</v>
      </c>
      <c r="H40" s="37" t="n">
        <v>7</v>
      </c>
      <c r="I40" s="37" t="s">
        <v>197</v>
      </c>
      <c r="J40" s="37" t="s">
        <v>282</v>
      </c>
      <c r="K40" s="37" t="s">
        <v>283</v>
      </c>
      <c r="L40" s="37" t="s">
        <v>186</v>
      </c>
      <c r="M40" s="37" t="s">
        <v>208</v>
      </c>
      <c r="N40" s="37" t="s">
        <v>209</v>
      </c>
    </row>
    <row r="41" customFormat="false" ht="15" hidden="false" customHeight="false" outlineLevel="0" collapsed="false">
      <c r="A41" s="37" t="n">
        <v>168498</v>
      </c>
      <c r="B41" s="37" t="s">
        <v>284</v>
      </c>
      <c r="C41" s="37" t="s">
        <v>200</v>
      </c>
      <c r="D41" s="37" t="n">
        <v>159500000</v>
      </c>
      <c r="F41" s="49" t="b">
        <f aca="false">TRUE()</f>
        <v>1</v>
      </c>
      <c r="G41" s="37" t="n">
        <v>3</v>
      </c>
      <c r="H41" s="37" t="n">
        <v>1</v>
      </c>
      <c r="I41" s="37" t="s">
        <v>183</v>
      </c>
      <c r="J41" s="37" t="s">
        <v>192</v>
      </c>
      <c r="K41" s="37" t="s">
        <v>185</v>
      </c>
      <c r="L41" s="37" t="s">
        <v>186</v>
      </c>
      <c r="M41" s="37" t="s">
        <v>187</v>
      </c>
      <c r="N41" s="37" t="s">
        <v>218</v>
      </c>
    </row>
    <row r="42" customFormat="false" ht="15" hidden="false" customHeight="false" outlineLevel="0" collapsed="false">
      <c r="A42" s="37" t="n">
        <v>160826</v>
      </c>
      <c r="B42" s="37" t="s">
        <v>285</v>
      </c>
      <c r="C42" s="37" t="s">
        <v>200</v>
      </c>
      <c r="D42" s="37" t="n">
        <v>437500000</v>
      </c>
      <c r="F42" s="49" t="b">
        <f aca="false">TRUE()</f>
        <v>1</v>
      </c>
      <c r="G42" s="37" t="n">
        <v>5</v>
      </c>
      <c r="H42" s="37" t="n">
        <v>1</v>
      </c>
      <c r="I42" s="37" t="s">
        <v>251</v>
      </c>
      <c r="J42" s="37" t="s">
        <v>192</v>
      </c>
      <c r="K42" s="37" t="s">
        <v>193</v>
      </c>
      <c r="L42" s="37" t="s">
        <v>237</v>
      </c>
      <c r="M42" s="37" t="s">
        <v>252</v>
      </c>
      <c r="N42" s="37" t="s">
        <v>211</v>
      </c>
    </row>
    <row r="43" customFormat="false" ht="15" hidden="false" customHeight="false" outlineLevel="0" collapsed="false">
      <c r="A43" s="37" t="n">
        <v>149622</v>
      </c>
      <c r="B43" s="37" t="s">
        <v>286</v>
      </c>
      <c r="C43" s="37" t="s">
        <v>200</v>
      </c>
      <c r="D43" s="37" t="n">
        <v>495500000</v>
      </c>
      <c r="F43" s="49" t="b">
        <f aca="false">TRUE()</f>
        <v>1</v>
      </c>
      <c r="G43" s="37" t="n">
        <v>4.6</v>
      </c>
      <c r="H43" s="37" t="n">
        <v>9</v>
      </c>
      <c r="I43" s="37" t="s">
        <v>251</v>
      </c>
      <c r="J43" s="37" t="s">
        <v>282</v>
      </c>
      <c r="K43" s="37" t="s">
        <v>193</v>
      </c>
      <c r="L43" s="37" t="s">
        <v>237</v>
      </c>
      <c r="M43" s="37" t="s">
        <v>252</v>
      </c>
      <c r="N43" s="37" t="s">
        <v>211</v>
      </c>
    </row>
    <row r="44" customFormat="false" ht="15" hidden="false" customHeight="false" outlineLevel="0" collapsed="false">
      <c r="A44" s="37" t="n">
        <v>76175</v>
      </c>
      <c r="B44" s="37" t="s">
        <v>287</v>
      </c>
      <c r="C44" s="37" t="s">
        <v>200</v>
      </c>
      <c r="D44" s="37" t="n">
        <v>224000000</v>
      </c>
      <c r="F44" s="49" t="b">
        <f aca="false">TRUE()</f>
        <v>1</v>
      </c>
      <c r="G44" s="37" t="n">
        <v>4.1</v>
      </c>
      <c r="H44" s="37" t="n">
        <v>21</v>
      </c>
      <c r="I44" s="37" t="s">
        <v>221</v>
      </c>
      <c r="J44" s="37" t="s">
        <v>192</v>
      </c>
      <c r="K44" s="37" t="s">
        <v>185</v>
      </c>
      <c r="L44" s="37" t="s">
        <v>237</v>
      </c>
      <c r="M44" s="37" t="s">
        <v>187</v>
      </c>
    </row>
    <row r="45" customFormat="false" ht="15" hidden="false" customHeight="false" outlineLevel="0" collapsed="false">
      <c r="A45" s="37" t="n">
        <v>60756</v>
      </c>
      <c r="B45" s="37" t="s">
        <v>288</v>
      </c>
      <c r="C45" s="37" t="s">
        <v>200</v>
      </c>
      <c r="D45" s="37" t="n">
        <v>137500000</v>
      </c>
      <c r="F45" s="49" t="b">
        <f aca="false">TRUE()</f>
        <v>1</v>
      </c>
      <c r="G45" s="37" t="n">
        <v>5</v>
      </c>
      <c r="H45" s="37" t="n">
        <v>1</v>
      </c>
      <c r="I45" s="37" t="s">
        <v>289</v>
      </c>
      <c r="J45" s="37" t="s">
        <v>192</v>
      </c>
      <c r="K45" s="37" t="s">
        <v>185</v>
      </c>
      <c r="L45" s="37" t="s">
        <v>186</v>
      </c>
      <c r="M45" s="37" t="s">
        <v>187</v>
      </c>
      <c r="N45" s="37" t="s">
        <v>218</v>
      </c>
    </row>
    <row r="46" customFormat="false" ht="15" hidden="false" customHeight="false" outlineLevel="0" collapsed="false">
      <c r="A46" s="37" t="n">
        <v>240045</v>
      </c>
      <c r="B46" s="37" t="s">
        <v>290</v>
      </c>
      <c r="C46" s="37" t="s">
        <v>182</v>
      </c>
      <c r="D46" s="37" t="n">
        <v>160000000</v>
      </c>
      <c r="F46" s="49" t="b">
        <f aca="false">TRUE()</f>
        <v>1</v>
      </c>
      <c r="G46" s="37" t="n">
        <v>5</v>
      </c>
      <c r="H46" s="37" t="n">
        <v>2</v>
      </c>
      <c r="I46" s="37" t="s">
        <v>197</v>
      </c>
      <c r="J46" s="37" t="s">
        <v>184</v>
      </c>
      <c r="K46" s="37" t="s">
        <v>185</v>
      </c>
      <c r="L46" s="37" t="s">
        <v>198</v>
      </c>
      <c r="M46" s="37" t="s">
        <v>187</v>
      </c>
    </row>
    <row r="47" customFormat="false" ht="15" hidden="false" customHeight="false" outlineLevel="0" collapsed="false">
      <c r="A47" s="37" t="n">
        <v>169781</v>
      </c>
      <c r="B47" s="37" t="s">
        <v>291</v>
      </c>
      <c r="C47" s="37" t="s">
        <v>200</v>
      </c>
      <c r="D47" s="37" t="n">
        <v>504000000</v>
      </c>
      <c r="F47" s="49" t="b">
        <f aca="false">TRUE()</f>
        <v>1</v>
      </c>
      <c r="G47" s="37" t="n">
        <v>5</v>
      </c>
      <c r="H47" s="37" t="n">
        <v>4</v>
      </c>
      <c r="I47" s="37" t="s">
        <v>251</v>
      </c>
      <c r="J47" s="37" t="s">
        <v>192</v>
      </c>
      <c r="K47" s="37" t="s">
        <v>193</v>
      </c>
      <c r="L47" s="37" t="s">
        <v>237</v>
      </c>
      <c r="M47" s="37" t="s">
        <v>252</v>
      </c>
      <c r="N47" s="37" t="s">
        <v>292</v>
      </c>
    </row>
    <row r="48" customFormat="false" ht="15" hidden="false" customHeight="false" outlineLevel="0" collapsed="false">
      <c r="A48" s="37" t="n">
        <v>168233</v>
      </c>
      <c r="B48" s="37" t="s">
        <v>293</v>
      </c>
      <c r="C48" s="37" t="s">
        <v>182</v>
      </c>
      <c r="D48" s="37" t="n">
        <v>423500000</v>
      </c>
      <c r="F48" s="49" t="b">
        <f aca="false">TRUE()</f>
        <v>1</v>
      </c>
      <c r="G48" s="37" t="n">
        <v>5</v>
      </c>
      <c r="H48" s="37" t="n">
        <v>1</v>
      </c>
      <c r="I48" s="37" t="s">
        <v>294</v>
      </c>
      <c r="J48" s="37" t="s">
        <v>192</v>
      </c>
      <c r="K48" s="37" t="s">
        <v>193</v>
      </c>
      <c r="L48" s="37" t="s">
        <v>186</v>
      </c>
      <c r="M48" s="37" t="s">
        <v>252</v>
      </c>
      <c r="N48" s="37" t="s">
        <v>295</v>
      </c>
    </row>
    <row r="49" customFormat="false" ht="15" hidden="false" customHeight="false" outlineLevel="0" collapsed="false">
      <c r="A49" s="37" t="n">
        <v>134279</v>
      </c>
      <c r="B49" s="37" t="s">
        <v>296</v>
      </c>
      <c r="C49" s="37" t="s">
        <v>207</v>
      </c>
      <c r="D49" s="37" t="n">
        <v>250000000</v>
      </c>
      <c r="F49" s="49" t="b">
        <f aca="false">TRUE()</f>
        <v>1</v>
      </c>
      <c r="G49" s="37" t="n">
        <v>4.2</v>
      </c>
      <c r="H49" s="37" t="n">
        <v>25</v>
      </c>
      <c r="I49" s="37" t="s">
        <v>197</v>
      </c>
      <c r="J49" s="37" t="s">
        <v>192</v>
      </c>
      <c r="K49" s="37" t="s">
        <v>193</v>
      </c>
      <c r="L49" s="37" t="s">
        <v>186</v>
      </c>
      <c r="M49" s="37" t="s">
        <v>194</v>
      </c>
      <c r="N49" s="37" t="s">
        <v>211</v>
      </c>
    </row>
    <row r="50" customFormat="false" ht="15" hidden="false" customHeight="false" outlineLevel="0" collapsed="false">
      <c r="A50" s="37" t="n">
        <v>107599</v>
      </c>
      <c r="B50" s="37" t="s">
        <v>297</v>
      </c>
      <c r="C50" s="37" t="s">
        <v>182</v>
      </c>
      <c r="D50" s="37" t="n">
        <v>117000000</v>
      </c>
      <c r="F50" s="49" t="b">
        <f aca="false">TRUE()</f>
        <v>1</v>
      </c>
      <c r="G50" s="37" t="n">
        <v>4</v>
      </c>
      <c r="H50" s="37" t="n">
        <v>21</v>
      </c>
      <c r="I50" s="37" t="s">
        <v>201</v>
      </c>
      <c r="J50" s="37" t="s">
        <v>192</v>
      </c>
      <c r="K50" s="37" t="s">
        <v>214</v>
      </c>
      <c r="L50" s="37" t="s">
        <v>186</v>
      </c>
      <c r="M50" s="37" t="s">
        <v>187</v>
      </c>
      <c r="N50" s="37" t="s">
        <v>215</v>
      </c>
    </row>
    <row r="51" customFormat="false" ht="15" hidden="false" customHeight="false" outlineLevel="0" collapsed="false">
      <c r="A51" s="37" t="n">
        <v>107598</v>
      </c>
      <c r="B51" s="37" t="s">
        <v>298</v>
      </c>
      <c r="C51" s="37" t="s">
        <v>182</v>
      </c>
      <c r="D51" s="37" t="n">
        <v>121000000</v>
      </c>
      <c r="F51" s="49" t="b">
        <f aca="false">TRUE()</f>
        <v>1</v>
      </c>
      <c r="G51" s="37" t="n">
        <v>3.8</v>
      </c>
      <c r="H51" s="37" t="n">
        <v>19</v>
      </c>
      <c r="I51" s="37" t="s">
        <v>201</v>
      </c>
      <c r="J51" s="37" t="s">
        <v>184</v>
      </c>
      <c r="K51" s="37" t="s">
        <v>193</v>
      </c>
      <c r="L51" s="37" t="s">
        <v>186</v>
      </c>
      <c r="M51" s="37" t="s">
        <v>187</v>
      </c>
      <c r="N51" s="37" t="s">
        <v>215</v>
      </c>
    </row>
    <row r="52" customFormat="false" ht="15" hidden="false" customHeight="false" outlineLevel="0" collapsed="false">
      <c r="A52" s="37" t="n">
        <v>107597</v>
      </c>
      <c r="B52" s="37" t="s">
        <v>299</v>
      </c>
      <c r="C52" s="37" t="s">
        <v>182</v>
      </c>
      <c r="D52" s="37" t="n">
        <v>107900000</v>
      </c>
      <c r="F52" s="49" t="b">
        <f aca="false">TRUE()</f>
        <v>1</v>
      </c>
      <c r="G52" s="37" t="n">
        <v>3.8</v>
      </c>
      <c r="H52" s="37" t="n">
        <v>21</v>
      </c>
      <c r="I52" s="37" t="s">
        <v>201</v>
      </c>
      <c r="J52" s="37" t="s">
        <v>184</v>
      </c>
      <c r="K52" s="37" t="s">
        <v>185</v>
      </c>
      <c r="L52" s="37" t="s">
        <v>186</v>
      </c>
      <c r="M52" s="37" t="s">
        <v>187</v>
      </c>
      <c r="N52" s="37" t="s">
        <v>215</v>
      </c>
    </row>
    <row r="53" customFormat="false" ht="15" hidden="false" customHeight="false" outlineLevel="0" collapsed="false">
      <c r="A53" s="37" t="n">
        <v>67260</v>
      </c>
      <c r="B53" s="37" t="s">
        <v>300</v>
      </c>
      <c r="C53" s="37" t="s">
        <v>200</v>
      </c>
      <c r="D53" s="37" t="n">
        <v>168200000</v>
      </c>
      <c r="F53" s="49" t="b">
        <f aca="false">TRUE()</f>
        <v>1</v>
      </c>
      <c r="G53" s="37" t="n">
        <v>1</v>
      </c>
      <c r="H53" s="37" t="n">
        <v>1</v>
      </c>
      <c r="I53" s="37" t="s">
        <v>217</v>
      </c>
      <c r="J53" s="37" t="s">
        <v>184</v>
      </c>
      <c r="K53" s="37" t="s">
        <v>185</v>
      </c>
      <c r="L53" s="37" t="s">
        <v>186</v>
      </c>
      <c r="M53" s="37" t="s">
        <v>82</v>
      </c>
      <c r="N53" s="37" t="s">
        <v>218</v>
      </c>
    </row>
    <row r="54" customFormat="false" ht="15" hidden="false" customHeight="false" outlineLevel="0" collapsed="false">
      <c r="A54" s="37" t="n">
        <v>32617</v>
      </c>
      <c r="B54" s="37" t="s">
        <v>301</v>
      </c>
      <c r="C54" s="37" t="s">
        <v>200</v>
      </c>
      <c r="D54" s="37" t="n">
        <v>210300000</v>
      </c>
      <c r="F54" s="49" t="b">
        <f aca="false">TRUE()</f>
        <v>1</v>
      </c>
      <c r="G54" s="37" t="n">
        <v>4.6</v>
      </c>
      <c r="H54" s="37" t="n">
        <v>30</v>
      </c>
      <c r="I54" s="37" t="s">
        <v>221</v>
      </c>
      <c r="J54" s="37" t="s">
        <v>192</v>
      </c>
      <c r="K54" s="37" t="s">
        <v>193</v>
      </c>
      <c r="L54" s="37" t="s">
        <v>186</v>
      </c>
      <c r="M54" s="37" t="s">
        <v>222</v>
      </c>
      <c r="N54" s="37" t="s">
        <v>218</v>
      </c>
    </row>
    <row r="55" customFormat="false" ht="15" hidden="false" customHeight="false" outlineLevel="0" collapsed="false">
      <c r="A55" s="37" t="n">
        <v>31463</v>
      </c>
      <c r="B55" s="37" t="s">
        <v>302</v>
      </c>
      <c r="C55" s="37" t="s">
        <v>200</v>
      </c>
      <c r="D55" s="37" t="n">
        <v>119000000</v>
      </c>
      <c r="F55" s="49" t="b">
        <f aca="false">TRUE()</f>
        <v>1</v>
      </c>
      <c r="G55" s="37" t="n">
        <v>5</v>
      </c>
      <c r="H55" s="37" t="n">
        <v>1</v>
      </c>
      <c r="I55" s="37" t="s">
        <v>303</v>
      </c>
      <c r="J55" s="37" t="s">
        <v>184</v>
      </c>
      <c r="K55" s="37" t="s">
        <v>214</v>
      </c>
      <c r="L55" s="37" t="s">
        <v>186</v>
      </c>
      <c r="M55" s="37" t="s">
        <v>187</v>
      </c>
      <c r="N55" s="37" t="s">
        <v>265</v>
      </c>
    </row>
    <row r="56" customFormat="false" ht="15" hidden="false" customHeight="false" outlineLevel="0" collapsed="false">
      <c r="A56" s="37" t="n">
        <v>592677</v>
      </c>
      <c r="B56" s="37" t="s">
        <v>304</v>
      </c>
      <c r="C56" s="37" t="s">
        <v>305</v>
      </c>
      <c r="D56" s="37" t="n">
        <v>198300000</v>
      </c>
      <c r="F56" s="49" t="b">
        <f aca="false">TRUE()</f>
        <v>1</v>
      </c>
      <c r="G56" s="37" t="n">
        <v>4</v>
      </c>
      <c r="H56" s="37" t="n">
        <v>1</v>
      </c>
      <c r="I56" s="37" t="s">
        <v>306</v>
      </c>
      <c r="J56" s="37" t="s">
        <v>192</v>
      </c>
      <c r="L56" s="37" t="s">
        <v>186</v>
      </c>
      <c r="M56" s="37" t="s">
        <v>307</v>
      </c>
      <c r="N56" s="37" t="s">
        <v>308</v>
      </c>
    </row>
    <row r="57" customFormat="false" ht="15" hidden="false" customHeight="false" outlineLevel="0" collapsed="false">
      <c r="A57" s="37" t="n">
        <v>577951</v>
      </c>
      <c r="B57" s="37" t="s">
        <v>309</v>
      </c>
      <c r="C57" s="37" t="s">
        <v>182</v>
      </c>
      <c r="D57" s="37" t="n">
        <v>410000000</v>
      </c>
      <c r="F57" s="49" t="b">
        <f aca="false">TRUE()</f>
        <v>1</v>
      </c>
      <c r="G57" s="37" t="n">
        <v>5</v>
      </c>
      <c r="H57" s="37" t="n">
        <v>1</v>
      </c>
      <c r="I57" s="37" t="s">
        <v>257</v>
      </c>
      <c r="J57" s="37" t="s">
        <v>282</v>
      </c>
      <c r="L57" s="37" t="s">
        <v>186</v>
      </c>
      <c r="M57" s="37" t="s">
        <v>208</v>
      </c>
      <c r="N57" s="37" t="s">
        <v>253</v>
      </c>
    </row>
    <row r="58" customFormat="false" ht="15" hidden="false" customHeight="false" outlineLevel="0" collapsed="false">
      <c r="A58" s="37" t="n">
        <v>520965</v>
      </c>
      <c r="B58" s="37" t="s">
        <v>310</v>
      </c>
      <c r="C58" s="37" t="s">
        <v>200</v>
      </c>
      <c r="D58" s="37" t="n">
        <v>299000000</v>
      </c>
      <c r="F58" s="49" t="b">
        <f aca="false">TRUE()</f>
        <v>1</v>
      </c>
      <c r="G58" s="37" t="n">
        <v>5</v>
      </c>
      <c r="H58" s="37" t="n">
        <v>1</v>
      </c>
      <c r="I58" s="37" t="s">
        <v>311</v>
      </c>
      <c r="J58" s="37" t="s">
        <v>192</v>
      </c>
      <c r="K58" s="37" t="s">
        <v>185</v>
      </c>
      <c r="L58" s="37" t="s">
        <v>237</v>
      </c>
      <c r="M58" s="37" t="s">
        <v>208</v>
      </c>
      <c r="N58" s="37" t="s">
        <v>312</v>
      </c>
    </row>
    <row r="59" customFormat="false" ht="15" hidden="false" customHeight="false" outlineLevel="0" collapsed="false">
      <c r="A59" s="37" t="n">
        <v>444114</v>
      </c>
      <c r="B59" s="37" t="s">
        <v>313</v>
      </c>
      <c r="C59" s="37" t="s">
        <v>229</v>
      </c>
      <c r="D59" s="37" t="n">
        <v>459890000</v>
      </c>
      <c r="F59" s="49" t="b">
        <f aca="false">TRUE()</f>
        <v>1</v>
      </c>
      <c r="G59" s="37" t="n">
        <v>3</v>
      </c>
      <c r="H59" s="37" t="n">
        <v>1</v>
      </c>
      <c r="I59" s="37" t="s">
        <v>314</v>
      </c>
      <c r="J59" s="37" t="s">
        <v>192</v>
      </c>
      <c r="K59" s="37" t="s">
        <v>185</v>
      </c>
      <c r="L59" s="37" t="s">
        <v>198</v>
      </c>
      <c r="M59" s="37" t="s">
        <v>84</v>
      </c>
      <c r="N59" s="37" t="s">
        <v>315</v>
      </c>
    </row>
    <row r="60" customFormat="false" ht="15" hidden="false" customHeight="false" outlineLevel="0" collapsed="false">
      <c r="A60" s="37" t="n">
        <v>442896</v>
      </c>
      <c r="B60" s="37" t="s">
        <v>316</v>
      </c>
      <c r="C60" s="37" t="s">
        <v>229</v>
      </c>
      <c r="D60" s="37" t="n">
        <v>380300000</v>
      </c>
      <c r="F60" s="49" t="b">
        <f aca="false">TRUE()</f>
        <v>1</v>
      </c>
      <c r="G60" s="37" t="n">
        <v>5</v>
      </c>
      <c r="H60" s="37" t="n">
        <v>1</v>
      </c>
      <c r="I60" s="37" t="s">
        <v>314</v>
      </c>
      <c r="J60" s="37" t="s">
        <v>192</v>
      </c>
      <c r="K60" s="37" t="s">
        <v>185</v>
      </c>
      <c r="L60" s="37" t="s">
        <v>317</v>
      </c>
      <c r="M60" s="37" t="s">
        <v>84</v>
      </c>
      <c r="N60" s="37" t="s">
        <v>315</v>
      </c>
    </row>
    <row r="61" customFormat="false" ht="15" hidden="false" customHeight="false" outlineLevel="0" collapsed="false">
      <c r="A61" s="37" t="n">
        <v>239896</v>
      </c>
      <c r="B61" s="37" t="s">
        <v>318</v>
      </c>
      <c r="C61" s="37" t="s">
        <v>207</v>
      </c>
      <c r="D61" s="37" t="n">
        <v>280000000</v>
      </c>
      <c r="F61" s="49" t="b">
        <f aca="false">TRUE()</f>
        <v>1</v>
      </c>
      <c r="G61" s="37" t="n">
        <v>4.3</v>
      </c>
      <c r="H61" s="37" t="n">
        <v>6</v>
      </c>
      <c r="I61" s="37" t="s">
        <v>197</v>
      </c>
      <c r="J61" s="37" t="s">
        <v>192</v>
      </c>
      <c r="K61" s="37" t="s">
        <v>283</v>
      </c>
      <c r="L61" s="37" t="s">
        <v>186</v>
      </c>
      <c r="M61" s="37" t="s">
        <v>208</v>
      </c>
      <c r="N61" s="37" t="s">
        <v>209</v>
      </c>
    </row>
    <row r="62" customFormat="false" ht="15" hidden="false" customHeight="false" outlineLevel="0" collapsed="false">
      <c r="A62" s="37" t="n">
        <v>239881</v>
      </c>
      <c r="B62" s="37" t="s">
        <v>319</v>
      </c>
      <c r="C62" s="37" t="s">
        <v>207</v>
      </c>
      <c r="D62" s="37" t="n">
        <v>314000000</v>
      </c>
      <c r="F62" s="49" t="b">
        <f aca="false">TRUE()</f>
        <v>1</v>
      </c>
      <c r="G62" s="37" t="n">
        <v>5</v>
      </c>
      <c r="H62" s="37" t="n">
        <v>2</v>
      </c>
      <c r="I62" s="37" t="s">
        <v>197</v>
      </c>
      <c r="J62" s="37" t="s">
        <v>282</v>
      </c>
      <c r="K62" s="37" t="s">
        <v>185</v>
      </c>
      <c r="L62" s="37" t="s">
        <v>186</v>
      </c>
      <c r="M62" s="37" t="s">
        <v>208</v>
      </c>
      <c r="N62" s="37" t="s">
        <v>209</v>
      </c>
    </row>
    <row r="63" customFormat="false" ht="15" hidden="false" customHeight="false" outlineLevel="0" collapsed="false">
      <c r="A63" s="37" t="n">
        <v>163901</v>
      </c>
      <c r="B63" s="37" t="s">
        <v>320</v>
      </c>
      <c r="C63" s="37" t="s">
        <v>182</v>
      </c>
      <c r="D63" s="37" t="n">
        <v>215500000</v>
      </c>
      <c r="F63" s="49" t="b">
        <f aca="false">TRUE()</f>
        <v>1</v>
      </c>
      <c r="G63" s="37" t="n">
        <v>4.4</v>
      </c>
      <c r="H63" s="37" t="n">
        <v>5</v>
      </c>
      <c r="I63" s="37" t="s">
        <v>191</v>
      </c>
      <c r="J63" s="37" t="s">
        <v>192</v>
      </c>
      <c r="K63" s="37" t="s">
        <v>185</v>
      </c>
      <c r="L63" s="37" t="s">
        <v>186</v>
      </c>
      <c r="M63" s="37" t="s">
        <v>187</v>
      </c>
      <c r="N63" s="37" t="s">
        <v>308</v>
      </c>
    </row>
    <row r="64" customFormat="false" ht="15" hidden="false" customHeight="false" outlineLevel="0" collapsed="false">
      <c r="A64" s="37" t="n">
        <v>132665</v>
      </c>
      <c r="B64" s="37" t="s">
        <v>321</v>
      </c>
      <c r="C64" s="37" t="s">
        <v>182</v>
      </c>
      <c r="D64" s="37" t="n">
        <v>156000000</v>
      </c>
      <c r="F64" s="49" t="b">
        <f aca="false">TRUE()</f>
        <v>1</v>
      </c>
      <c r="G64" s="37" t="n">
        <v>4</v>
      </c>
      <c r="H64" s="37" t="n">
        <v>5</v>
      </c>
      <c r="I64" s="37" t="s">
        <v>197</v>
      </c>
      <c r="J64" s="37" t="s">
        <v>184</v>
      </c>
      <c r="K64" s="37" t="s">
        <v>185</v>
      </c>
      <c r="L64" s="37" t="s">
        <v>198</v>
      </c>
      <c r="M64" s="37" t="s">
        <v>187</v>
      </c>
    </row>
    <row r="65" customFormat="false" ht="15" hidden="false" customHeight="false" outlineLevel="0" collapsed="false">
      <c r="A65" s="37" t="n">
        <v>122016</v>
      </c>
      <c r="B65" s="37" t="s">
        <v>322</v>
      </c>
      <c r="C65" s="37" t="s">
        <v>200</v>
      </c>
      <c r="D65" s="37" t="n">
        <v>312000000</v>
      </c>
      <c r="F65" s="49" t="b">
        <f aca="false">TRUE()</f>
        <v>1</v>
      </c>
      <c r="G65" s="37" t="n">
        <v>4.6</v>
      </c>
      <c r="H65" s="37" t="n">
        <v>22</v>
      </c>
      <c r="I65" s="37" t="s">
        <v>323</v>
      </c>
      <c r="J65" s="37" t="s">
        <v>192</v>
      </c>
      <c r="K65" s="37" t="s">
        <v>185</v>
      </c>
      <c r="L65" s="37" t="s">
        <v>237</v>
      </c>
      <c r="M65" s="37" t="s">
        <v>208</v>
      </c>
      <c r="N65" s="37" t="s">
        <v>211</v>
      </c>
    </row>
    <row r="66" customFormat="false" ht="15" hidden="false" customHeight="false" outlineLevel="0" collapsed="false">
      <c r="A66" s="37" t="n">
        <v>114932</v>
      </c>
      <c r="B66" s="37" t="s">
        <v>324</v>
      </c>
      <c r="C66" s="37" t="s">
        <v>182</v>
      </c>
      <c r="D66" s="37" t="n">
        <v>102800000</v>
      </c>
      <c r="F66" s="49" t="b">
        <f aca="false">TRUE()</f>
        <v>1</v>
      </c>
      <c r="G66" s="37" t="n">
        <v>3.6</v>
      </c>
      <c r="H66" s="37" t="n">
        <v>19</v>
      </c>
      <c r="I66" s="37" t="s">
        <v>201</v>
      </c>
      <c r="J66" s="37" t="s">
        <v>184</v>
      </c>
      <c r="K66" s="37" t="s">
        <v>185</v>
      </c>
      <c r="L66" s="37" t="s">
        <v>186</v>
      </c>
      <c r="M66" s="37" t="s">
        <v>187</v>
      </c>
      <c r="N66" s="37" t="s">
        <v>215</v>
      </c>
    </row>
    <row r="67" customFormat="false" ht="15" hidden="false" customHeight="false" outlineLevel="0" collapsed="false">
      <c r="A67" s="37" t="n">
        <v>73598</v>
      </c>
      <c r="B67" s="37" t="s">
        <v>325</v>
      </c>
      <c r="C67" s="37" t="s">
        <v>200</v>
      </c>
      <c r="D67" s="37" t="n">
        <v>125800000</v>
      </c>
      <c r="F67" s="49" t="b">
        <f aca="false">TRUE()</f>
        <v>1</v>
      </c>
      <c r="G67" s="37" t="n">
        <v>5</v>
      </c>
      <c r="H67" s="37" t="n">
        <v>1</v>
      </c>
      <c r="I67" s="37" t="s">
        <v>245</v>
      </c>
      <c r="J67" s="37" t="s">
        <v>184</v>
      </c>
      <c r="K67" s="37" t="s">
        <v>214</v>
      </c>
      <c r="L67" s="37" t="s">
        <v>186</v>
      </c>
      <c r="M67" s="37" t="s">
        <v>238</v>
      </c>
      <c r="N67" s="37" t="s">
        <v>265</v>
      </c>
    </row>
    <row r="68" customFormat="false" ht="15" hidden="false" customHeight="false" outlineLevel="0" collapsed="false">
      <c r="A68" s="37" t="n">
        <v>49411</v>
      </c>
      <c r="B68" s="37" t="s">
        <v>326</v>
      </c>
      <c r="C68" s="37" t="s">
        <v>182</v>
      </c>
      <c r="D68" s="37" t="n">
        <v>185000000</v>
      </c>
      <c r="F68" s="49" t="b">
        <f aca="false">TRUE()</f>
        <v>1</v>
      </c>
      <c r="G68" s="37" t="n">
        <v>4.3</v>
      </c>
      <c r="H68" s="37" t="n">
        <v>31</v>
      </c>
      <c r="I68" s="37" t="s">
        <v>197</v>
      </c>
      <c r="J68" s="37" t="s">
        <v>192</v>
      </c>
      <c r="K68" s="37" t="s">
        <v>193</v>
      </c>
      <c r="L68" s="37" t="s">
        <v>186</v>
      </c>
      <c r="M68" s="37" t="s">
        <v>187</v>
      </c>
      <c r="N68" s="37" t="s">
        <v>188</v>
      </c>
    </row>
    <row r="69" customFormat="false" ht="15" hidden="false" customHeight="false" outlineLevel="0" collapsed="false">
      <c r="A69" s="37" t="n">
        <v>46264</v>
      </c>
      <c r="B69" s="37" t="s">
        <v>327</v>
      </c>
      <c r="C69" s="37" t="s">
        <v>182</v>
      </c>
      <c r="D69" s="37" t="n">
        <v>145800000</v>
      </c>
      <c r="F69" s="49" t="b">
        <f aca="false">TRUE()</f>
        <v>1</v>
      </c>
      <c r="G69" s="37" t="n">
        <v>4</v>
      </c>
      <c r="H69" s="37" t="n">
        <v>2</v>
      </c>
      <c r="I69" s="37" t="s">
        <v>183</v>
      </c>
      <c r="J69" s="37" t="s">
        <v>192</v>
      </c>
      <c r="K69" s="37" t="s">
        <v>214</v>
      </c>
      <c r="L69" s="37" t="s">
        <v>186</v>
      </c>
      <c r="M69" s="37" t="s">
        <v>82</v>
      </c>
      <c r="N69" s="37" t="s">
        <v>188</v>
      </c>
    </row>
    <row r="70" customFormat="false" ht="15" hidden="false" customHeight="false" outlineLevel="0" collapsed="false">
      <c r="A70" s="37" t="n">
        <v>44782</v>
      </c>
      <c r="B70" s="37" t="s">
        <v>328</v>
      </c>
      <c r="C70" s="37" t="s">
        <v>182</v>
      </c>
      <c r="D70" s="37" t="n">
        <v>287000000</v>
      </c>
      <c r="F70" s="49" t="b">
        <f aca="false">TRUE()</f>
        <v>1</v>
      </c>
      <c r="G70" s="37" t="n">
        <v>3.3</v>
      </c>
      <c r="H70" s="37" t="n">
        <v>3</v>
      </c>
      <c r="I70" s="37" t="s">
        <v>260</v>
      </c>
      <c r="J70" s="37" t="s">
        <v>192</v>
      </c>
      <c r="K70" s="37" t="s">
        <v>185</v>
      </c>
      <c r="L70" s="37" t="s">
        <v>186</v>
      </c>
      <c r="M70" s="37" t="s">
        <v>194</v>
      </c>
      <c r="N70" s="37" t="s">
        <v>253</v>
      </c>
    </row>
    <row r="71" customFormat="false" ht="15" hidden="false" customHeight="false" outlineLevel="0" collapsed="false">
      <c r="A71" s="37" t="n">
        <v>35283</v>
      </c>
      <c r="B71" s="37" t="s">
        <v>329</v>
      </c>
      <c r="C71" s="37" t="s">
        <v>200</v>
      </c>
      <c r="D71" s="37" t="n">
        <v>144000000</v>
      </c>
      <c r="F71" s="49" t="b">
        <f aca="false">TRUE()</f>
        <v>1</v>
      </c>
      <c r="G71" s="37" t="n">
        <v>5</v>
      </c>
      <c r="H71" s="37" t="n">
        <v>1</v>
      </c>
      <c r="I71" s="37" t="s">
        <v>289</v>
      </c>
      <c r="J71" s="37" t="s">
        <v>330</v>
      </c>
      <c r="K71" s="37" t="s">
        <v>185</v>
      </c>
      <c r="L71" s="37" t="s">
        <v>186</v>
      </c>
      <c r="M71" s="37" t="s">
        <v>222</v>
      </c>
      <c r="N71" s="37" t="s">
        <v>218</v>
      </c>
    </row>
    <row r="72" customFormat="false" ht="15" hidden="false" customHeight="false" outlineLevel="0" collapsed="false">
      <c r="A72" s="37" t="n">
        <v>28961</v>
      </c>
      <c r="B72" s="37" t="s">
        <v>331</v>
      </c>
      <c r="C72" s="37" t="s">
        <v>200</v>
      </c>
      <c r="D72" s="37" t="n">
        <v>187500000</v>
      </c>
      <c r="F72" s="49" t="b">
        <f aca="false">TRUE()</f>
        <v>1</v>
      </c>
      <c r="G72" s="37" t="n">
        <v>4.3</v>
      </c>
      <c r="H72" s="37" t="n">
        <v>24</v>
      </c>
      <c r="I72" s="37" t="s">
        <v>221</v>
      </c>
      <c r="J72" s="37" t="s">
        <v>184</v>
      </c>
      <c r="K72" s="37" t="s">
        <v>185</v>
      </c>
      <c r="L72" s="37" t="s">
        <v>186</v>
      </c>
      <c r="M72" s="37" t="s">
        <v>222</v>
      </c>
      <c r="N72" s="37" t="s">
        <v>218</v>
      </c>
    </row>
    <row r="73" customFormat="false" ht="15" hidden="false" customHeight="false" outlineLevel="0" collapsed="false">
      <c r="A73" s="37" t="n">
        <v>608728</v>
      </c>
      <c r="B73" s="37" t="s">
        <v>332</v>
      </c>
      <c r="C73" s="37" t="s">
        <v>200</v>
      </c>
      <c r="D73" s="37" t="n">
        <v>129900000</v>
      </c>
      <c r="F73" s="49" t="b">
        <f aca="false">TRUE()</f>
        <v>1</v>
      </c>
      <c r="G73" s="37" t="n">
        <v>5</v>
      </c>
      <c r="H73" s="37" t="n">
        <v>1</v>
      </c>
      <c r="I73" s="37" t="s">
        <v>333</v>
      </c>
      <c r="J73" s="37" t="s">
        <v>184</v>
      </c>
      <c r="K73" s="37" t="s">
        <v>214</v>
      </c>
      <c r="L73" s="37" t="s">
        <v>186</v>
      </c>
      <c r="M73" s="37" t="s">
        <v>238</v>
      </c>
      <c r="N73" s="37" t="s">
        <v>188</v>
      </c>
    </row>
    <row r="74" customFormat="false" ht="15" hidden="false" customHeight="false" outlineLevel="0" collapsed="false">
      <c r="A74" s="37" t="n">
        <v>597484</v>
      </c>
      <c r="B74" s="37" t="s">
        <v>334</v>
      </c>
      <c r="C74" s="37" t="s">
        <v>200</v>
      </c>
      <c r="D74" s="37" t="n">
        <v>277000000</v>
      </c>
      <c r="E74" s="37" t="n">
        <v>312000000</v>
      </c>
      <c r="F74" s="49" t="b">
        <f aca="false">TRUE()</f>
        <v>1</v>
      </c>
      <c r="G74" s="37" t="n">
        <v>5</v>
      </c>
      <c r="H74" s="37" t="n">
        <v>1</v>
      </c>
      <c r="I74" s="37" t="s">
        <v>323</v>
      </c>
      <c r="J74" s="37" t="s">
        <v>192</v>
      </c>
      <c r="K74" s="37" t="s">
        <v>185</v>
      </c>
      <c r="L74" s="37" t="s">
        <v>237</v>
      </c>
      <c r="M74" s="37" t="s">
        <v>194</v>
      </c>
      <c r="N74" s="37" t="s">
        <v>211</v>
      </c>
    </row>
    <row r="75" customFormat="false" ht="15" hidden="false" customHeight="false" outlineLevel="0" collapsed="false">
      <c r="A75" s="37" t="n">
        <v>597249</v>
      </c>
      <c r="B75" s="37" t="s">
        <v>335</v>
      </c>
      <c r="C75" s="37" t="s">
        <v>207</v>
      </c>
      <c r="D75" s="37" t="n">
        <v>127000000</v>
      </c>
      <c r="F75" s="49" t="b">
        <f aca="false">TRUE()</f>
        <v>1</v>
      </c>
      <c r="G75" s="37" t="n">
        <v>5</v>
      </c>
      <c r="H75" s="37" t="n">
        <v>1</v>
      </c>
      <c r="I75" s="37" t="s">
        <v>245</v>
      </c>
      <c r="J75" s="37" t="s">
        <v>184</v>
      </c>
      <c r="K75" s="37" t="s">
        <v>185</v>
      </c>
      <c r="L75" s="37" t="s">
        <v>186</v>
      </c>
      <c r="M75" s="37" t="s">
        <v>238</v>
      </c>
      <c r="N75" s="37" t="s">
        <v>336</v>
      </c>
    </row>
    <row r="76" customFormat="false" ht="15" hidden="false" customHeight="false" outlineLevel="0" collapsed="false">
      <c r="A76" s="37" t="n">
        <v>588477</v>
      </c>
      <c r="B76" s="37" t="s">
        <v>337</v>
      </c>
      <c r="C76" s="37" t="s">
        <v>200</v>
      </c>
      <c r="D76" s="37" t="n">
        <v>249000000</v>
      </c>
      <c r="F76" s="49" t="b">
        <f aca="false">TRUE()</f>
        <v>1</v>
      </c>
      <c r="G76" s="37" t="n">
        <v>5</v>
      </c>
      <c r="H76" s="37" t="n">
        <v>1</v>
      </c>
      <c r="I76" s="37" t="s">
        <v>191</v>
      </c>
      <c r="J76" s="37" t="s">
        <v>192</v>
      </c>
      <c r="K76" s="37" t="s">
        <v>193</v>
      </c>
      <c r="L76" s="37" t="s">
        <v>237</v>
      </c>
      <c r="M76" s="37" t="s">
        <v>82</v>
      </c>
      <c r="N76" s="37" t="s">
        <v>338</v>
      </c>
    </row>
    <row r="77" customFormat="false" ht="15" hidden="false" customHeight="false" outlineLevel="0" collapsed="false">
      <c r="A77" s="37" t="n">
        <v>588147</v>
      </c>
      <c r="B77" s="37" t="s">
        <v>339</v>
      </c>
      <c r="C77" s="37" t="s">
        <v>200</v>
      </c>
      <c r="D77" s="37" t="n">
        <v>155800000</v>
      </c>
      <c r="F77" s="49" t="b">
        <f aca="false">TRUE()</f>
        <v>1</v>
      </c>
      <c r="G77" s="37" t="n">
        <v>5</v>
      </c>
      <c r="H77" s="37" t="n">
        <v>1</v>
      </c>
      <c r="I77" s="37" t="s">
        <v>183</v>
      </c>
      <c r="J77" s="37" t="s">
        <v>184</v>
      </c>
      <c r="K77" s="37" t="s">
        <v>185</v>
      </c>
      <c r="L77" s="37" t="s">
        <v>186</v>
      </c>
      <c r="M77" s="37" t="s">
        <v>264</v>
      </c>
      <c r="N77" s="37" t="s">
        <v>265</v>
      </c>
    </row>
    <row r="78" customFormat="false" ht="15" hidden="false" customHeight="false" outlineLevel="0" collapsed="false">
      <c r="A78" s="37" t="n">
        <v>587920</v>
      </c>
      <c r="B78" s="37" t="s">
        <v>340</v>
      </c>
      <c r="C78" s="37" t="s">
        <v>200</v>
      </c>
      <c r="D78" s="37" t="n">
        <v>147200000</v>
      </c>
      <c r="F78" s="49" t="b">
        <f aca="false">TRUE()</f>
        <v>1</v>
      </c>
      <c r="G78" s="37" t="n">
        <v>5</v>
      </c>
      <c r="H78" s="37" t="n">
        <v>1</v>
      </c>
      <c r="I78" s="37" t="s">
        <v>183</v>
      </c>
      <c r="J78" s="37" t="s">
        <v>184</v>
      </c>
      <c r="K78" s="37" t="s">
        <v>214</v>
      </c>
      <c r="L78" s="37" t="s">
        <v>186</v>
      </c>
      <c r="M78" s="37" t="s">
        <v>264</v>
      </c>
      <c r="N78" s="37" t="s">
        <v>265</v>
      </c>
    </row>
    <row r="79" customFormat="false" ht="15" hidden="false" customHeight="false" outlineLevel="0" collapsed="false">
      <c r="A79" s="37" t="n">
        <v>584505</v>
      </c>
      <c r="B79" s="37" t="s">
        <v>341</v>
      </c>
      <c r="C79" s="37" t="s">
        <v>207</v>
      </c>
      <c r="D79" s="37" t="n">
        <v>275000000</v>
      </c>
      <c r="F79" s="49" t="b">
        <f aca="false">TRUE()</f>
        <v>1</v>
      </c>
      <c r="G79" s="37" t="n">
        <v>5</v>
      </c>
      <c r="H79" s="37" t="n">
        <v>1</v>
      </c>
      <c r="I79" s="37" t="s">
        <v>342</v>
      </c>
      <c r="J79" s="37" t="s">
        <v>192</v>
      </c>
      <c r="K79" s="37" t="s">
        <v>185</v>
      </c>
      <c r="L79" s="37" t="s">
        <v>237</v>
      </c>
      <c r="M79" s="37" t="s">
        <v>343</v>
      </c>
      <c r="N79" s="37" t="s">
        <v>344</v>
      </c>
    </row>
    <row r="80" customFormat="false" ht="15" hidden="false" customHeight="false" outlineLevel="0" collapsed="false">
      <c r="A80" s="37" t="n">
        <v>520981</v>
      </c>
      <c r="B80" s="37" t="s">
        <v>345</v>
      </c>
      <c r="C80" s="37" t="s">
        <v>200</v>
      </c>
      <c r="D80" s="37" t="n">
        <v>315000000</v>
      </c>
      <c r="F80" s="49" t="b">
        <f aca="false">TRUE()</f>
        <v>1</v>
      </c>
      <c r="G80" s="37" t="n">
        <v>5</v>
      </c>
      <c r="H80" s="37" t="n">
        <v>1</v>
      </c>
      <c r="I80" s="37" t="s">
        <v>311</v>
      </c>
      <c r="J80" s="37" t="s">
        <v>192</v>
      </c>
      <c r="K80" s="37" t="s">
        <v>193</v>
      </c>
      <c r="L80" s="37" t="s">
        <v>237</v>
      </c>
      <c r="M80" s="37" t="s">
        <v>208</v>
      </c>
      <c r="N80" s="37" t="s">
        <v>312</v>
      </c>
    </row>
    <row r="81" customFormat="false" ht="15" hidden="false" customHeight="false" outlineLevel="0" collapsed="false">
      <c r="A81" s="37" t="n">
        <v>518248</v>
      </c>
      <c r="B81" s="37" t="s">
        <v>346</v>
      </c>
      <c r="C81" s="37" t="s">
        <v>200</v>
      </c>
      <c r="D81" s="37" t="n">
        <v>222000000</v>
      </c>
      <c r="F81" s="49" t="b">
        <f aca="false">TRUE()</f>
        <v>1</v>
      </c>
      <c r="G81" s="37" t="n">
        <v>5</v>
      </c>
      <c r="H81" s="37" t="n">
        <v>1</v>
      </c>
      <c r="I81" s="37" t="s">
        <v>217</v>
      </c>
      <c r="J81" s="37" t="s">
        <v>192</v>
      </c>
      <c r="K81" s="37" t="s">
        <v>193</v>
      </c>
      <c r="L81" s="37" t="s">
        <v>186</v>
      </c>
      <c r="M81" s="37" t="s">
        <v>82</v>
      </c>
      <c r="N81" s="37" t="s">
        <v>218</v>
      </c>
    </row>
    <row r="82" customFormat="false" ht="15" hidden="false" customHeight="false" outlineLevel="0" collapsed="false">
      <c r="A82" s="37" t="n">
        <v>435939</v>
      </c>
      <c r="B82" s="37" t="s">
        <v>347</v>
      </c>
      <c r="C82" s="37" t="s">
        <v>190</v>
      </c>
      <c r="D82" s="37" t="n">
        <v>289000000</v>
      </c>
      <c r="E82" s="37" t="n">
        <v>300000000</v>
      </c>
      <c r="F82" s="49" t="b">
        <f aca="false">TRUE()</f>
        <v>1</v>
      </c>
      <c r="G82" s="37" t="n">
        <v>5</v>
      </c>
      <c r="H82" s="37" t="n">
        <v>1</v>
      </c>
      <c r="I82" s="37" t="s">
        <v>348</v>
      </c>
      <c r="J82" s="37" t="s">
        <v>192</v>
      </c>
      <c r="K82" s="37" t="s">
        <v>193</v>
      </c>
      <c r="L82" s="37" t="s">
        <v>186</v>
      </c>
      <c r="M82" s="37" t="s">
        <v>261</v>
      </c>
      <c r="N82" s="37" t="s">
        <v>349</v>
      </c>
    </row>
    <row r="83" customFormat="false" ht="15" hidden="false" customHeight="false" outlineLevel="0" collapsed="false">
      <c r="A83" s="37" t="n">
        <v>390689</v>
      </c>
      <c r="B83" s="37" t="s">
        <v>350</v>
      </c>
      <c r="C83" s="37" t="s">
        <v>305</v>
      </c>
      <c r="D83" s="37" t="n">
        <v>162200000</v>
      </c>
      <c r="F83" s="49" t="b">
        <f aca="false">TRUE()</f>
        <v>1</v>
      </c>
      <c r="G83" s="37" t="n">
        <v>5</v>
      </c>
      <c r="H83" s="37" t="n">
        <v>1</v>
      </c>
      <c r="I83" s="37" t="s">
        <v>351</v>
      </c>
      <c r="J83" s="37" t="s">
        <v>192</v>
      </c>
      <c r="K83" s="37" t="s">
        <v>185</v>
      </c>
      <c r="L83" s="37" t="s">
        <v>186</v>
      </c>
      <c r="M83" s="37" t="s">
        <v>187</v>
      </c>
      <c r="N83" s="37" t="s">
        <v>349</v>
      </c>
    </row>
    <row r="84" customFormat="false" ht="15" hidden="false" customHeight="false" outlineLevel="0" collapsed="false">
      <c r="A84" s="37" t="n">
        <v>382472</v>
      </c>
      <c r="B84" s="37" t="s">
        <v>352</v>
      </c>
      <c r="C84" s="37" t="s">
        <v>200</v>
      </c>
      <c r="D84" s="37" t="n">
        <v>215500000</v>
      </c>
      <c r="F84" s="49" t="b">
        <f aca="false">TRUE()</f>
        <v>1</v>
      </c>
      <c r="G84" s="37" t="n">
        <v>4</v>
      </c>
      <c r="H84" s="37" t="n">
        <v>1</v>
      </c>
      <c r="I84" s="37" t="s">
        <v>217</v>
      </c>
      <c r="J84" s="37" t="s">
        <v>192</v>
      </c>
      <c r="K84" s="37" t="s">
        <v>193</v>
      </c>
      <c r="L84" s="37" t="s">
        <v>186</v>
      </c>
      <c r="M84" s="37" t="s">
        <v>82</v>
      </c>
      <c r="N84" s="37" t="s">
        <v>218</v>
      </c>
    </row>
    <row r="85" customFormat="false" ht="15" hidden="false" customHeight="false" outlineLevel="0" collapsed="false">
      <c r="A85" s="37" t="n">
        <v>379843</v>
      </c>
      <c r="B85" s="37" t="s">
        <v>353</v>
      </c>
      <c r="C85" s="37" t="s">
        <v>200</v>
      </c>
      <c r="D85" s="37" t="n">
        <v>187000000</v>
      </c>
      <c r="F85" s="49" t="b">
        <f aca="false">TRUE()</f>
        <v>1</v>
      </c>
      <c r="G85" s="37" t="n">
        <v>5</v>
      </c>
      <c r="H85" s="37" t="n">
        <v>1</v>
      </c>
      <c r="I85" s="37" t="s">
        <v>227</v>
      </c>
      <c r="J85" s="37" t="s">
        <v>192</v>
      </c>
      <c r="K85" s="37" t="s">
        <v>185</v>
      </c>
      <c r="L85" s="37" t="s">
        <v>186</v>
      </c>
      <c r="M85" s="37" t="s">
        <v>222</v>
      </c>
      <c r="N85" s="37" t="s">
        <v>218</v>
      </c>
    </row>
    <row r="86" customFormat="false" ht="15" hidden="false" customHeight="false" outlineLevel="0" collapsed="false">
      <c r="A86" s="37" t="n">
        <v>316877</v>
      </c>
      <c r="B86" s="37" t="s">
        <v>354</v>
      </c>
      <c r="C86" s="37" t="s">
        <v>200</v>
      </c>
      <c r="D86" s="37" t="n">
        <v>344600000</v>
      </c>
      <c r="F86" s="49" t="b">
        <f aca="false">TRUE()</f>
        <v>1</v>
      </c>
      <c r="G86" s="37" t="n">
        <v>5</v>
      </c>
      <c r="H86" s="37" t="n">
        <v>1</v>
      </c>
      <c r="I86" s="37" t="s">
        <v>355</v>
      </c>
      <c r="J86" s="37" t="s">
        <v>192</v>
      </c>
      <c r="K86" s="37" t="s">
        <v>193</v>
      </c>
      <c r="L86" s="37" t="s">
        <v>237</v>
      </c>
      <c r="M86" s="37" t="s">
        <v>208</v>
      </c>
      <c r="N86" s="37" t="s">
        <v>312</v>
      </c>
    </row>
    <row r="87" customFormat="false" ht="15" hidden="false" customHeight="false" outlineLevel="0" collapsed="false">
      <c r="A87" s="37" t="n">
        <v>313739</v>
      </c>
      <c r="B87" s="37" t="s">
        <v>356</v>
      </c>
      <c r="C87" s="37" t="s">
        <v>200</v>
      </c>
      <c r="D87" s="37" t="n">
        <v>223000000</v>
      </c>
      <c r="F87" s="49" t="b">
        <f aca="false">TRUE()</f>
        <v>1</v>
      </c>
      <c r="G87" s="37" t="n">
        <v>5</v>
      </c>
      <c r="H87" s="37" t="n">
        <v>1</v>
      </c>
      <c r="I87" s="37" t="s">
        <v>263</v>
      </c>
      <c r="J87" s="37" t="s">
        <v>357</v>
      </c>
      <c r="K87" s="37" t="s">
        <v>185</v>
      </c>
      <c r="L87" s="37" t="s">
        <v>186</v>
      </c>
      <c r="M87" s="37" t="s">
        <v>264</v>
      </c>
      <c r="N87" s="37" t="s">
        <v>265</v>
      </c>
    </row>
    <row r="88" customFormat="false" ht="15" hidden="false" customHeight="false" outlineLevel="0" collapsed="false">
      <c r="A88" s="37" t="n">
        <v>303390</v>
      </c>
      <c r="B88" s="37" t="s">
        <v>358</v>
      </c>
      <c r="C88" s="37" t="s">
        <v>200</v>
      </c>
      <c r="D88" s="37" t="n">
        <v>333500000</v>
      </c>
      <c r="F88" s="49" t="b">
        <f aca="false">TRUE()</f>
        <v>1</v>
      </c>
      <c r="G88" s="37" t="n">
        <v>4.2</v>
      </c>
      <c r="H88" s="37" t="n">
        <v>13</v>
      </c>
      <c r="I88" s="37" t="s">
        <v>355</v>
      </c>
      <c r="J88" s="37" t="s">
        <v>192</v>
      </c>
      <c r="K88" s="37" t="s">
        <v>185</v>
      </c>
      <c r="L88" s="37" t="s">
        <v>237</v>
      </c>
      <c r="M88" s="37" t="s">
        <v>208</v>
      </c>
      <c r="N88" s="37" t="s">
        <v>312</v>
      </c>
    </row>
    <row r="89" customFormat="false" ht="15" hidden="false" customHeight="false" outlineLevel="0" collapsed="false">
      <c r="A89" s="37" t="n">
        <v>279504</v>
      </c>
      <c r="B89" s="37" t="s">
        <v>359</v>
      </c>
      <c r="C89" s="37" t="s">
        <v>182</v>
      </c>
      <c r="D89" s="37" t="n">
        <v>204800000</v>
      </c>
      <c r="F89" s="49" t="b">
        <f aca="false">TRUE()</f>
        <v>1</v>
      </c>
      <c r="G89" s="37" t="n">
        <v>5</v>
      </c>
      <c r="H89" s="37" t="n">
        <v>1</v>
      </c>
      <c r="I89" s="37" t="s">
        <v>191</v>
      </c>
      <c r="J89" s="37" t="s">
        <v>192</v>
      </c>
      <c r="K89" s="37" t="s">
        <v>185</v>
      </c>
      <c r="L89" s="37" t="s">
        <v>186</v>
      </c>
      <c r="M89" s="37" t="s">
        <v>82</v>
      </c>
      <c r="N89" s="37" t="s">
        <v>188</v>
      </c>
    </row>
    <row r="90" customFormat="false" ht="15" hidden="false" customHeight="false" outlineLevel="0" collapsed="false">
      <c r="A90" s="37" t="n">
        <v>274838</v>
      </c>
      <c r="B90" s="37" t="s">
        <v>360</v>
      </c>
      <c r="C90" s="37" t="s">
        <v>190</v>
      </c>
      <c r="D90" s="37" t="n">
        <v>479500000</v>
      </c>
      <c r="F90" s="49" t="b">
        <f aca="false">TRUE()</f>
        <v>1</v>
      </c>
      <c r="G90" s="37" t="n">
        <v>5</v>
      </c>
      <c r="H90" s="37" t="n">
        <v>1</v>
      </c>
      <c r="I90" s="37" t="s">
        <v>361</v>
      </c>
      <c r="J90" s="37" t="s">
        <v>282</v>
      </c>
      <c r="K90" s="37" t="s">
        <v>193</v>
      </c>
      <c r="L90" s="37" t="s">
        <v>186</v>
      </c>
      <c r="M90" s="37" t="s">
        <v>252</v>
      </c>
      <c r="N90" s="37" t="s">
        <v>253</v>
      </c>
    </row>
    <row r="91" customFormat="false" ht="15" hidden="false" customHeight="false" outlineLevel="0" collapsed="false">
      <c r="A91" s="37" t="n">
        <v>274721</v>
      </c>
      <c r="B91" s="37" t="s">
        <v>362</v>
      </c>
      <c r="C91" s="37" t="s">
        <v>190</v>
      </c>
      <c r="D91" s="37" t="n">
        <v>440000000</v>
      </c>
      <c r="F91" s="49" t="b">
        <f aca="false">TRUE()</f>
        <v>1</v>
      </c>
      <c r="G91" s="37" t="n">
        <v>4.3</v>
      </c>
      <c r="H91" s="37" t="n">
        <v>3</v>
      </c>
      <c r="I91" s="37" t="s">
        <v>361</v>
      </c>
      <c r="J91" s="37" t="s">
        <v>192</v>
      </c>
      <c r="K91" s="37" t="s">
        <v>193</v>
      </c>
      <c r="L91" s="37" t="s">
        <v>186</v>
      </c>
      <c r="M91" s="37" t="s">
        <v>252</v>
      </c>
      <c r="N91" s="37" t="s">
        <v>253</v>
      </c>
    </row>
    <row r="92" customFormat="false" ht="15" hidden="false" customHeight="false" outlineLevel="0" collapsed="false">
      <c r="A92" s="37" t="n">
        <v>271345</v>
      </c>
      <c r="B92" s="37" t="s">
        <v>363</v>
      </c>
      <c r="C92" s="37" t="s">
        <v>200</v>
      </c>
      <c r="D92" s="37" t="n">
        <v>324200000</v>
      </c>
      <c r="F92" s="49" t="b">
        <f aca="false">TRUE()</f>
        <v>1</v>
      </c>
      <c r="G92" s="37" t="n">
        <v>5</v>
      </c>
      <c r="H92" s="37" t="n">
        <v>1</v>
      </c>
      <c r="I92" s="37" t="s">
        <v>191</v>
      </c>
      <c r="J92" s="37" t="s">
        <v>282</v>
      </c>
      <c r="K92" s="37" t="s">
        <v>185</v>
      </c>
      <c r="L92" s="37" t="s">
        <v>186</v>
      </c>
      <c r="M92" s="37" t="s">
        <v>222</v>
      </c>
      <c r="N92" s="37" t="s">
        <v>265</v>
      </c>
    </row>
    <row r="93" customFormat="false" ht="15" hidden="false" customHeight="false" outlineLevel="0" collapsed="false">
      <c r="A93" s="37" t="n">
        <v>208990</v>
      </c>
      <c r="B93" s="37" t="s">
        <v>364</v>
      </c>
      <c r="C93" s="37" t="s">
        <v>207</v>
      </c>
      <c r="D93" s="37" t="n">
        <v>272500000</v>
      </c>
      <c r="F93" s="49" t="b">
        <f aca="false">TRUE()</f>
        <v>1</v>
      </c>
      <c r="G93" s="37" t="n">
        <v>5</v>
      </c>
      <c r="H93" s="37" t="n">
        <v>1</v>
      </c>
      <c r="I93" s="37" t="s">
        <v>365</v>
      </c>
      <c r="J93" s="37" t="s">
        <v>192</v>
      </c>
      <c r="K93" s="37" t="s">
        <v>193</v>
      </c>
      <c r="L93" s="37" t="s">
        <v>237</v>
      </c>
      <c r="M93" s="37" t="s">
        <v>343</v>
      </c>
      <c r="N93" s="37" t="s">
        <v>349</v>
      </c>
    </row>
    <row r="94" customFormat="false" ht="15" hidden="false" customHeight="false" outlineLevel="0" collapsed="false">
      <c r="A94" s="37" t="n">
        <v>174317</v>
      </c>
      <c r="B94" s="37" t="s">
        <v>366</v>
      </c>
      <c r="C94" s="37" t="s">
        <v>200</v>
      </c>
      <c r="D94" s="37" t="n">
        <v>549500000</v>
      </c>
      <c r="F94" s="49" t="b">
        <f aca="false">TRUE()</f>
        <v>1</v>
      </c>
      <c r="G94" s="37" t="n">
        <v>5</v>
      </c>
      <c r="H94" s="37" t="n">
        <v>1</v>
      </c>
      <c r="I94" s="37" t="s">
        <v>251</v>
      </c>
      <c r="J94" s="37" t="s">
        <v>282</v>
      </c>
      <c r="K94" s="37" t="s">
        <v>193</v>
      </c>
      <c r="L94" s="37" t="s">
        <v>237</v>
      </c>
      <c r="M94" s="37" t="s">
        <v>252</v>
      </c>
      <c r="N94" s="37" t="s">
        <v>292</v>
      </c>
    </row>
    <row r="95" customFormat="false" ht="15" hidden="false" customHeight="false" outlineLevel="0" collapsed="false">
      <c r="A95" s="37" t="n">
        <v>168240</v>
      </c>
      <c r="B95" s="37" t="s">
        <v>367</v>
      </c>
      <c r="C95" s="37" t="s">
        <v>182</v>
      </c>
      <c r="D95" s="37" t="n">
        <v>479500000</v>
      </c>
      <c r="F95" s="49" t="b">
        <f aca="false">TRUE()</f>
        <v>1</v>
      </c>
      <c r="G95" s="37" t="n">
        <v>5</v>
      </c>
      <c r="H95" s="37" t="n">
        <v>1</v>
      </c>
      <c r="I95" s="37" t="s">
        <v>294</v>
      </c>
      <c r="J95" s="37" t="s">
        <v>282</v>
      </c>
      <c r="K95" s="37" t="s">
        <v>193</v>
      </c>
      <c r="L95" s="37" t="s">
        <v>186</v>
      </c>
      <c r="M95" s="37" t="s">
        <v>252</v>
      </c>
      <c r="N95" s="37" t="s">
        <v>295</v>
      </c>
    </row>
    <row r="96" customFormat="false" ht="15" hidden="false" customHeight="false" outlineLevel="0" collapsed="false">
      <c r="A96" s="37" t="n">
        <v>167165</v>
      </c>
      <c r="B96" s="37" t="s">
        <v>368</v>
      </c>
      <c r="C96" s="37" t="s">
        <v>182</v>
      </c>
      <c r="D96" s="37" t="n">
        <v>393000000</v>
      </c>
      <c r="F96" s="49" t="b">
        <f aca="false">TRUE()</f>
        <v>1</v>
      </c>
      <c r="G96" s="37" t="n">
        <v>5</v>
      </c>
      <c r="H96" s="37" t="n">
        <v>1</v>
      </c>
      <c r="I96" s="37" t="s">
        <v>294</v>
      </c>
      <c r="J96" s="37" t="s">
        <v>192</v>
      </c>
      <c r="K96" s="37" t="s">
        <v>193</v>
      </c>
      <c r="L96" s="37" t="s">
        <v>186</v>
      </c>
      <c r="M96" s="37" t="s">
        <v>261</v>
      </c>
      <c r="N96" s="37" t="s">
        <v>295</v>
      </c>
    </row>
    <row r="97" customFormat="false" ht="15" hidden="false" customHeight="false" outlineLevel="0" collapsed="false">
      <c r="A97" s="37" t="n">
        <v>162940</v>
      </c>
      <c r="B97" s="37" t="s">
        <v>369</v>
      </c>
      <c r="C97" s="37" t="s">
        <v>207</v>
      </c>
      <c r="D97" s="37" t="n">
        <v>299000000</v>
      </c>
      <c r="E97" s="37" t="n">
        <v>325000000</v>
      </c>
      <c r="F97" s="49" t="b">
        <f aca="false">TRUE()</f>
        <v>1</v>
      </c>
      <c r="G97" s="37" t="n">
        <v>4.1</v>
      </c>
      <c r="H97" s="37" t="n">
        <v>23</v>
      </c>
      <c r="I97" s="37" t="s">
        <v>355</v>
      </c>
      <c r="J97" s="37" t="s">
        <v>192</v>
      </c>
      <c r="K97" s="37" t="s">
        <v>185</v>
      </c>
      <c r="L97" s="37" t="s">
        <v>186</v>
      </c>
      <c r="M97" s="37" t="s">
        <v>208</v>
      </c>
      <c r="N97" s="37" t="s">
        <v>312</v>
      </c>
    </row>
    <row r="98" customFormat="false" ht="15" hidden="false" customHeight="false" outlineLevel="0" collapsed="false">
      <c r="A98" s="37" t="n">
        <v>161442</v>
      </c>
      <c r="B98" s="37" t="s">
        <v>370</v>
      </c>
      <c r="C98" s="37" t="s">
        <v>182</v>
      </c>
      <c r="D98" s="37" t="n">
        <v>165000000</v>
      </c>
      <c r="F98" s="49" t="b">
        <f aca="false">TRUE()</f>
        <v>1</v>
      </c>
      <c r="G98" s="37" t="n">
        <v>4.5</v>
      </c>
      <c r="H98" s="37" t="n">
        <v>2</v>
      </c>
      <c r="I98" s="37" t="s">
        <v>371</v>
      </c>
      <c r="J98" s="37" t="s">
        <v>192</v>
      </c>
      <c r="K98" s="37" t="s">
        <v>185</v>
      </c>
      <c r="L98" s="37" t="s">
        <v>186</v>
      </c>
      <c r="M98" s="37" t="s">
        <v>83</v>
      </c>
      <c r="N98" s="37" t="s">
        <v>308</v>
      </c>
    </row>
    <row r="99" customFormat="false" ht="15" hidden="false" customHeight="false" outlineLevel="0" collapsed="false">
      <c r="A99" s="37" t="n">
        <v>149663</v>
      </c>
      <c r="B99" s="37" t="s">
        <v>372</v>
      </c>
      <c r="C99" s="37" t="s">
        <v>200</v>
      </c>
      <c r="D99" s="37" t="n">
        <v>469000000</v>
      </c>
      <c r="F99" s="49" t="b">
        <f aca="false">TRUE()</f>
        <v>1</v>
      </c>
      <c r="G99" s="37" t="n">
        <v>4.4</v>
      </c>
      <c r="H99" s="37" t="n">
        <v>25</v>
      </c>
      <c r="I99" s="37" t="s">
        <v>373</v>
      </c>
      <c r="J99" s="37" t="s">
        <v>282</v>
      </c>
      <c r="K99" s="37" t="s">
        <v>193</v>
      </c>
      <c r="L99" s="37" t="s">
        <v>204</v>
      </c>
      <c r="M99" s="37" t="s">
        <v>343</v>
      </c>
      <c r="N99" s="37" t="s">
        <v>374</v>
      </c>
    </row>
    <row r="100" customFormat="false" ht="15" hidden="false" customHeight="false" outlineLevel="0" collapsed="false">
      <c r="A100" s="37" t="n">
        <v>149641</v>
      </c>
      <c r="B100" s="37" t="s">
        <v>375</v>
      </c>
      <c r="C100" s="37" t="s">
        <v>200</v>
      </c>
      <c r="D100" s="37" t="n">
        <v>295000000</v>
      </c>
      <c r="F100" s="49" t="b">
        <f aca="false">TRUE()</f>
        <v>1</v>
      </c>
      <c r="G100" s="37" t="n">
        <v>5</v>
      </c>
      <c r="H100" s="37" t="n">
        <v>1</v>
      </c>
      <c r="I100" s="37" t="s">
        <v>323</v>
      </c>
      <c r="J100" s="37" t="s">
        <v>192</v>
      </c>
      <c r="K100" s="37" t="s">
        <v>185</v>
      </c>
      <c r="L100" s="37" t="s">
        <v>237</v>
      </c>
      <c r="M100" s="37" t="s">
        <v>194</v>
      </c>
      <c r="N100" s="37" t="s">
        <v>211</v>
      </c>
    </row>
    <row r="101" customFormat="false" ht="15" hidden="false" customHeight="false" outlineLevel="0" collapsed="false">
      <c r="A101" s="37" t="n">
        <v>127788</v>
      </c>
      <c r="B101" s="37" t="s">
        <v>376</v>
      </c>
      <c r="C101" s="37" t="s">
        <v>200</v>
      </c>
      <c r="D101" s="37" t="n">
        <v>255700000</v>
      </c>
      <c r="F101" s="49" t="b">
        <f aca="false">TRUE()</f>
        <v>1</v>
      </c>
      <c r="G101" s="37" t="n">
        <v>4.4</v>
      </c>
      <c r="H101" s="37" t="n">
        <v>21</v>
      </c>
      <c r="I101" s="37" t="s">
        <v>191</v>
      </c>
      <c r="J101" s="37" t="s">
        <v>192</v>
      </c>
      <c r="K101" s="37" t="s">
        <v>185</v>
      </c>
      <c r="L101" s="37" t="s">
        <v>186</v>
      </c>
      <c r="M101" s="37" t="s">
        <v>187</v>
      </c>
      <c r="N101" s="37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99AE"/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8"/>
    <col collapsed="false" customWidth="true" hidden="false" outlineLevel="0" max="14" min="11" style="0" width="16"/>
  </cols>
  <sheetData>
    <row r="1" customFormat="false" ht="17.35" hidden="false" customHeight="false" outlineLevel="0" collapsed="false">
      <c r="A1" s="35" t="s">
        <v>377</v>
      </c>
    </row>
    <row r="2" customFormat="false" ht="15" hidden="false" customHeight="false" outlineLevel="0" collapsed="false">
      <c r="A2" s="50" t="s">
        <v>378</v>
      </c>
    </row>
    <row r="4" customFormat="false" ht="30" hidden="false" customHeight="true" outlineLevel="0" collapsed="false">
      <c r="A4" s="38" t="s">
        <v>379</v>
      </c>
      <c r="B4" s="38" t="s">
        <v>380</v>
      </c>
      <c r="D4" s="38" t="s">
        <v>381</v>
      </c>
      <c r="E4" s="38" t="s">
        <v>382</v>
      </c>
      <c r="G4" s="38" t="s">
        <v>383</v>
      </c>
      <c r="H4" s="38" t="s">
        <v>52</v>
      </c>
      <c r="J4" s="38" t="s">
        <v>384</v>
      </c>
      <c r="K4" s="38" t="s">
        <v>385</v>
      </c>
      <c r="L4" s="38" t="s">
        <v>386</v>
      </c>
      <c r="M4" s="38" t="s">
        <v>387</v>
      </c>
      <c r="N4" s="38" t="s">
        <v>388</v>
      </c>
    </row>
    <row r="5" customFormat="false" ht="15" hidden="false" customHeight="false" outlineLevel="0" collapsed="false">
      <c r="A5" s="51" t="s">
        <v>200</v>
      </c>
      <c r="B5" s="51" t="s">
        <v>389</v>
      </c>
      <c r="D5" s="51" t="n">
        <v>0</v>
      </c>
      <c r="E5" s="51" t="s">
        <v>390</v>
      </c>
      <c r="G5" s="37" t="s">
        <v>391</v>
      </c>
      <c r="H5" s="51" t="n">
        <v>10</v>
      </c>
      <c r="J5" s="37" t="s">
        <v>10</v>
      </c>
      <c r="K5" s="37" t="s">
        <v>10</v>
      </c>
      <c r="L5" s="37" t="s">
        <v>10</v>
      </c>
      <c r="M5" s="37" t="s">
        <v>10</v>
      </c>
      <c r="N5" s="37" t="s">
        <v>10</v>
      </c>
    </row>
    <row r="6" customFormat="false" ht="15" hidden="false" customHeight="false" outlineLevel="0" collapsed="false">
      <c r="A6" s="51" t="s">
        <v>182</v>
      </c>
      <c r="B6" s="51" t="s">
        <v>392</v>
      </c>
      <c r="D6" s="51" t="n">
        <v>100</v>
      </c>
      <c r="E6" s="51" t="s">
        <v>393</v>
      </c>
      <c r="G6" s="37" t="s">
        <v>394</v>
      </c>
      <c r="H6" s="44" t="n">
        <f aca="false">AVERAGEIFS(Clean!$K$2:$K$101,Clean!$L$2:$L$101,"&gt;0")</f>
        <v>4.475</v>
      </c>
      <c r="J6" s="37" t="str">
        <f aca="false">IFERROR(INDEX(Clean!$D$2:$D$101,MATCH(1,Clean!$AI$2:$AI$101,0)),"")</f>
        <v>Lenovo</v>
      </c>
      <c r="K6" s="37" t="s">
        <v>82</v>
      </c>
      <c r="L6" s="37" t="s">
        <v>95</v>
      </c>
      <c r="M6" s="37" t="str">
        <f aca="false">E5</f>
        <v>&lt; 100 M</v>
      </c>
      <c r="N6" s="37" t="s">
        <v>102</v>
      </c>
    </row>
    <row r="7" customFormat="false" ht="15" hidden="false" customHeight="false" outlineLevel="0" collapsed="false">
      <c r="A7" s="51" t="s">
        <v>207</v>
      </c>
      <c r="B7" s="51" t="s">
        <v>395</v>
      </c>
      <c r="D7" s="51" t="n">
        <v>200</v>
      </c>
      <c r="E7" s="51" t="s">
        <v>396</v>
      </c>
      <c r="G7" s="37" t="s">
        <v>397</v>
      </c>
      <c r="H7" s="51" t="n">
        <v>50</v>
      </c>
      <c r="J7" s="37" t="str">
        <f aca="false">IFERROR(INDEX(Clean!$D$2:$D$101,MATCH(2,Clean!$AI$2:$AI$101,0)),"")</f>
        <v>MSI</v>
      </c>
      <c r="K7" s="37" t="s">
        <v>83</v>
      </c>
      <c r="L7" s="37" t="s">
        <v>96</v>
      </c>
      <c r="M7" s="37" t="str">
        <f aca="false">E6</f>
        <v>100–200 M</v>
      </c>
      <c r="N7" s="37" t="s">
        <v>103</v>
      </c>
    </row>
    <row r="8" customFormat="false" ht="15" hidden="false" customHeight="false" outlineLevel="0" collapsed="false">
      <c r="A8" s="51" t="s">
        <v>190</v>
      </c>
      <c r="B8" s="51" t="s">
        <v>398</v>
      </c>
      <c r="D8" s="51" t="n">
        <v>300</v>
      </c>
      <c r="E8" s="51" t="s">
        <v>399</v>
      </c>
      <c r="G8" s="37" t="s">
        <v>400</v>
      </c>
      <c r="H8" s="51" t="n">
        <v>50</v>
      </c>
      <c r="J8" s="37" t="str">
        <f aca="false">IFERROR(INDEX(Clean!$D$2:$D$101,MATCH(3,Clean!$AI$2:$AI$101,0)),"")</f>
        <v>ASUS</v>
      </c>
      <c r="K8" s="37" t="s">
        <v>84</v>
      </c>
      <c r="L8" s="37" t="s">
        <v>401</v>
      </c>
      <c r="M8" s="37" t="str">
        <f aca="false">E7</f>
        <v>200–300 M</v>
      </c>
      <c r="N8" s="37" t="s">
        <v>104</v>
      </c>
    </row>
    <row r="9" customFormat="false" ht="15" hidden="false" customHeight="false" outlineLevel="0" collapsed="false">
      <c r="A9" s="51" t="s">
        <v>229</v>
      </c>
      <c r="B9" s="51" t="s">
        <v>84</v>
      </c>
      <c r="D9" s="51" t="n">
        <v>400</v>
      </c>
      <c r="E9" s="51" t="s">
        <v>402</v>
      </c>
      <c r="G9" s="37" t="s">
        <v>403</v>
      </c>
      <c r="H9" s="51" t="n">
        <v>1</v>
      </c>
      <c r="J9" s="37" t="str">
        <f aca="false">IFERROR(INDEX(Clean!$D$2:$D$101,MATCH(4,Clean!$AI$2:$AI$101,0)),"")</f>
        <v>HP</v>
      </c>
      <c r="K9" s="37" t="s">
        <v>401</v>
      </c>
      <c r="L9" s="37"/>
      <c r="M9" s="37" t="str">
        <f aca="false">E8</f>
        <v>300–400 M</v>
      </c>
      <c r="N9" s="37" t="s">
        <v>401</v>
      </c>
    </row>
    <row r="10" customFormat="false" ht="15" hidden="false" customHeight="false" outlineLevel="0" collapsed="false">
      <c r="A10" s="51" t="s">
        <v>269</v>
      </c>
      <c r="B10" s="51" t="s">
        <v>404</v>
      </c>
      <c r="J10" s="37" t="str">
        <f aca="false">IFERROR(INDEX(Clean!$D$2:$D$101,MATCH(5,Clean!$AI$2:$AI$101,0)),"")</f>
        <v>Apple</v>
      </c>
      <c r="K10" s="37"/>
      <c r="L10" s="37"/>
      <c r="M10" s="37" t="str">
        <f aca="false">E9</f>
        <v>400 M +</v>
      </c>
      <c r="N10" s="37"/>
    </row>
    <row r="11" customFormat="false" ht="15" hidden="false" customHeight="false" outlineLevel="0" collapsed="false">
      <c r="A11" s="51" t="s">
        <v>305</v>
      </c>
      <c r="B11" s="51" t="s">
        <v>405</v>
      </c>
      <c r="J11" s="37" t="str">
        <f aca="false">IFERROR(INDEX(Clean!$D$2:$D$101,MATCH(6,Clean!$AI$2:$AI$101,0)),"")</f>
        <v>Samsung</v>
      </c>
      <c r="K11" s="37"/>
      <c r="L11" s="37"/>
      <c r="M11" s="37"/>
      <c r="N11" s="37"/>
    </row>
    <row r="12" customFormat="false" ht="15" hidden="false" customHeight="false" outlineLevel="0" collapsed="false">
      <c r="A12" s="51" t="s">
        <v>267</v>
      </c>
      <c r="B12" s="51" t="s">
        <v>406</v>
      </c>
      <c r="J12" s="0" t="str">
        <f aca="false">IFERROR(INDEX(Clean!$D$2:$D$101,MATCH(7,Clean!$AI$2:$AI$101,0)),"")</f>
        <v>Acer</v>
      </c>
    </row>
    <row r="13" customFormat="false" ht="15" hidden="false" customHeight="false" outlineLevel="0" collapsed="false">
      <c r="A13" s="51" t="s">
        <v>407</v>
      </c>
      <c r="B13" s="51" t="s">
        <v>408</v>
      </c>
      <c r="J13" s="0" t="str">
        <f aca="false">IFERROR(INDEX(Clean!$D$2:$D$101,MATCH(8,Clean!$AI$2:$AI$101,0)),"")</f>
        <v>Dell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99AE"/>
    <pageSetUpPr fitToPage="fals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19.7" hidden="false" customHeight="false" outlineLevel="0" collapsed="false">
      <c r="B1" s="52" t="s">
        <v>409</v>
      </c>
    </row>
    <row r="3" customFormat="false" ht="15" hidden="false" customHeight="false" outlineLevel="0" collapsed="false">
      <c r="B3" s="48" t="s">
        <v>410</v>
      </c>
      <c r="C3" s="53"/>
    </row>
    <row r="4" customFormat="false" ht="15" hidden="false" customHeight="false" outlineLevel="0" collapsed="false">
      <c r="B4" s="54" t="s">
        <v>411</v>
      </c>
      <c r="C4" s="55" t="s">
        <v>412</v>
      </c>
    </row>
    <row r="5" customFormat="false" ht="23.85" hidden="false" customHeight="false" outlineLevel="0" collapsed="false">
      <c r="B5" s="54" t="s">
        <v>413</v>
      </c>
      <c r="C5" s="55" t="s">
        <v>414</v>
      </c>
    </row>
    <row r="6" customFormat="false" ht="23.85" hidden="false" customHeight="false" outlineLevel="0" collapsed="false">
      <c r="B6" s="54" t="s">
        <v>415</v>
      </c>
      <c r="C6" s="55" t="s">
        <v>416</v>
      </c>
    </row>
    <row r="7" customFormat="false" ht="23.85" hidden="false" customHeight="false" outlineLevel="0" collapsed="false">
      <c r="B7" s="54" t="s">
        <v>417</v>
      </c>
      <c r="C7" s="55" t="s">
        <v>418</v>
      </c>
    </row>
    <row r="8" customFormat="false" ht="15" hidden="false" customHeight="false" outlineLevel="0" collapsed="false">
      <c r="B8" s="54" t="s">
        <v>419</v>
      </c>
      <c r="C8" s="55" t="s">
        <v>420</v>
      </c>
    </row>
    <row r="10" customFormat="false" ht="15" hidden="false" customHeight="false" outlineLevel="0" collapsed="false">
      <c r="B10" s="48" t="s">
        <v>421</v>
      </c>
      <c r="C10" s="53"/>
    </row>
    <row r="11" customFormat="false" ht="23.85" hidden="false" customHeight="false" outlineLevel="0" collapsed="false">
      <c r="B11" s="54" t="s">
        <v>422</v>
      </c>
      <c r="C11" s="55" t="s">
        <v>423</v>
      </c>
    </row>
    <row r="12" customFormat="false" ht="23.85" hidden="false" customHeight="false" outlineLevel="0" collapsed="false">
      <c r="B12" s="54" t="s">
        <v>424</v>
      </c>
      <c r="C12" s="55" t="s">
        <v>425</v>
      </c>
    </row>
    <row r="13" customFormat="false" ht="23.85" hidden="false" customHeight="false" outlineLevel="0" collapsed="false">
      <c r="B13" s="54" t="s">
        <v>426</v>
      </c>
      <c r="C13" s="55" t="s">
        <v>427</v>
      </c>
    </row>
    <row r="14" customFormat="false" ht="15" hidden="false" customHeight="false" outlineLevel="0" collapsed="false">
      <c r="B14" s="54" t="s">
        <v>428</v>
      </c>
      <c r="C14" s="55" t="s">
        <v>429</v>
      </c>
    </row>
    <row r="15" customFormat="false" ht="15" hidden="false" customHeight="false" outlineLevel="0" collapsed="false">
      <c r="B15" s="54" t="s">
        <v>5</v>
      </c>
      <c r="C15" s="55" t="s">
        <v>430</v>
      </c>
    </row>
    <row r="16" customFormat="false" ht="23.85" hidden="false" customHeight="false" outlineLevel="0" collapsed="false">
      <c r="B16" s="54" t="s">
        <v>431</v>
      </c>
      <c r="C16" s="55" t="s">
        <v>432</v>
      </c>
    </row>
    <row r="17" customFormat="false" ht="23.85" hidden="false" customHeight="false" outlineLevel="0" collapsed="false">
      <c r="B17" s="54" t="s">
        <v>433</v>
      </c>
      <c r="C17" s="55" t="s">
        <v>434</v>
      </c>
    </row>
    <row r="18" customFormat="false" ht="15" hidden="false" customHeight="false" outlineLevel="0" collapsed="false">
      <c r="B18" s="54" t="s">
        <v>435</v>
      </c>
      <c r="C18" s="55" t="s">
        <v>436</v>
      </c>
    </row>
    <row r="19" customFormat="false" ht="23.85" hidden="false" customHeight="false" outlineLevel="0" collapsed="false">
      <c r="B19" s="54" t="s">
        <v>437</v>
      </c>
      <c r="C19" s="55" t="s">
        <v>438</v>
      </c>
    </row>
    <row r="21" customFormat="false" ht="15" hidden="false" customHeight="false" outlineLevel="0" collapsed="false">
      <c r="B21" s="48" t="s">
        <v>439</v>
      </c>
      <c r="C21" s="53"/>
    </row>
    <row r="22" customFormat="false" ht="15" hidden="false" customHeight="false" outlineLevel="0" collapsed="false">
      <c r="B22" s="54" t="s">
        <v>440</v>
      </c>
      <c r="C22" s="55" t="s">
        <v>441</v>
      </c>
    </row>
    <row r="23" customFormat="false" ht="15" hidden="false" customHeight="false" outlineLevel="0" collapsed="false">
      <c r="B23" s="54" t="s">
        <v>442</v>
      </c>
      <c r="C23" s="55" t="s">
        <v>443</v>
      </c>
    </row>
    <row r="24" customFormat="false" ht="15" hidden="false" customHeight="false" outlineLevel="0" collapsed="false">
      <c r="B24" s="54" t="s">
        <v>444</v>
      </c>
      <c r="C24" s="55" t="s">
        <v>445</v>
      </c>
    </row>
    <row r="25" customFormat="false" ht="15" hidden="false" customHeight="false" outlineLevel="0" collapsed="false">
      <c r="B25" s="54" t="s">
        <v>446</v>
      </c>
      <c r="C25" s="55" t="s">
        <v>447</v>
      </c>
    </row>
    <row r="26" customFormat="false" ht="15" hidden="false" customHeight="false" outlineLevel="0" collapsed="false">
      <c r="B26" s="54" t="s">
        <v>448</v>
      </c>
      <c r="C26" s="55" t="s">
        <v>449</v>
      </c>
    </row>
    <row r="28" customFormat="false" ht="15" hidden="false" customHeight="false" outlineLevel="0" collapsed="false">
      <c r="B28" s="48" t="s">
        <v>450</v>
      </c>
      <c r="C28" s="53"/>
    </row>
    <row r="29" customFormat="false" ht="15" hidden="false" customHeight="false" outlineLevel="0" collapsed="false">
      <c r="B29" s="37" t="s">
        <v>451</v>
      </c>
      <c r="C29" s="56" t="n">
        <f aca="false">COUNTA(Raw!A2:A101)</f>
        <v>100</v>
      </c>
    </row>
    <row r="30" customFormat="false" ht="15" hidden="false" customHeight="false" outlineLevel="0" collapsed="false">
      <c r="B30" s="37" t="s">
        <v>452</v>
      </c>
      <c r="C30" s="56" t="n">
        <f aca="false">SUMPRODUCT((COUNTIF(Raw!A2:A101,Raw!A2:A101)&gt;1)*1)</f>
        <v>0</v>
      </c>
    </row>
    <row r="31" customFormat="false" ht="15" hidden="false" customHeight="false" outlineLevel="0" collapsed="false">
      <c r="B31" s="37" t="s">
        <v>453</v>
      </c>
      <c r="C31" s="56" t="n">
        <f aca="false">COUNTBLANK(Raw!D2:D101)</f>
        <v>0</v>
      </c>
    </row>
    <row r="32" customFormat="false" ht="15" hidden="false" customHeight="false" outlineLevel="0" collapsed="false">
      <c r="B32" s="37" t="s">
        <v>454</v>
      </c>
      <c r="C32" s="56" t="n">
        <f aca="false">COUNT(Raw!E2:E101)</f>
        <v>8</v>
      </c>
    </row>
    <row r="33" customFormat="false" ht="15" hidden="false" customHeight="false" outlineLevel="0" collapsed="false">
      <c r="B33" s="37" t="s">
        <v>455</v>
      </c>
      <c r="C33" s="56" t="n">
        <f aca="false">COUNTBLANK(Raw!I2:I101)</f>
        <v>1</v>
      </c>
    </row>
    <row r="34" customFormat="false" ht="15" hidden="false" customHeight="false" outlineLevel="0" collapsed="false">
      <c r="B34" s="37" t="s">
        <v>456</v>
      </c>
      <c r="C34" s="56" t="n">
        <f aca="false">COUNTBLANK(Raw!J2:J101)</f>
        <v>1</v>
      </c>
    </row>
    <row r="35" customFormat="false" ht="15" hidden="false" customHeight="false" outlineLevel="0" collapsed="false">
      <c r="B35" s="37" t="s">
        <v>457</v>
      </c>
      <c r="C35" s="56" t="n">
        <f aca="false">COUNTBLANK(Raw!K2:K101)</f>
        <v>3</v>
      </c>
    </row>
    <row r="36" customFormat="false" ht="15" hidden="false" customHeight="false" outlineLevel="0" collapsed="false">
      <c r="B36" s="37" t="s">
        <v>458</v>
      </c>
      <c r="C36" s="56" t="n">
        <f aca="false">COUNTBLANK(Raw!L2:L101)</f>
        <v>1</v>
      </c>
    </row>
    <row r="37" customFormat="false" ht="15" hidden="false" customHeight="false" outlineLevel="0" collapsed="false">
      <c r="B37" s="37" t="s">
        <v>459</v>
      </c>
      <c r="C37" s="56" t="n">
        <f aca="false">COUNTBLANK(Raw!M2:M101)</f>
        <v>1</v>
      </c>
    </row>
    <row r="38" customFormat="false" ht="15" hidden="false" customHeight="false" outlineLevel="0" collapsed="false">
      <c r="B38" s="37" t="s">
        <v>460</v>
      </c>
      <c r="C38" s="56" t="n">
        <f aca="false">COUNTBLANK(Raw!N2:N101)</f>
        <v>7</v>
      </c>
    </row>
    <row r="39" customFormat="false" ht="15" hidden="false" customHeight="false" outlineLevel="0" collapsed="false">
      <c r="B39" s="37" t="s">
        <v>461</v>
      </c>
      <c r="C39" s="56" t="n">
        <f aca="false">SUMPRODUCT(--ISNUMBER(FIND(" و ",Raw!K2:K101)))</f>
        <v>2</v>
      </c>
    </row>
    <row r="40" customFormat="false" ht="15" hidden="false" customHeight="false" outlineLevel="0" collapsed="false">
      <c r="B40" s="37" t="s">
        <v>462</v>
      </c>
      <c r="C40" s="56" t="n">
        <f aca="false">COUNTIF(Clean!$AU$2:$AU$101,"?*")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2026-10-10T15:11:16Z</dcterms:created>
  <dc:creator>openpyxl</dc:creator>
  <dc:description/>
  <dc:language>en-US</dc:language>
  <cp:lastModifiedBy/>
  <dcterms:modified xsi:type="dcterms:W3CDTF">2026-10-10T15:11:19Z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